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1.xml" ContentType="application/vnd.openxmlformats-officedocument.spreadsheetml.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11400" firstSheet="13" activeTab="19"/>
  </bookViews>
  <sheets>
    <sheet name="Sheet4" sheetId="4" r:id="rId1"/>
    <sheet name="Sheet5" sheetId="5" r:id="rId2"/>
    <sheet name="Sheet6" sheetId="6" r:id="rId3"/>
    <sheet name="Sheet7" sheetId="7" r:id="rId4"/>
    <sheet name="Sheet8" sheetId="8" r:id="rId5"/>
    <sheet name="Sheet9" sheetId="9" r:id="rId6"/>
    <sheet name="Sheet10" sheetId="10" r:id="rId7"/>
    <sheet name="Sheet11" sheetId="11" r:id="rId8"/>
    <sheet name="Sheet12" sheetId="12" r:id="rId9"/>
    <sheet name="Sheet13" sheetId="13" r:id="rId10"/>
    <sheet name="Sheet14" sheetId="14" r:id="rId11"/>
    <sheet name="Sheet15" sheetId="15" r:id="rId12"/>
    <sheet name="Sheet16" sheetId="16" r:id="rId13"/>
    <sheet name="Sheet2" sheetId="20" r:id="rId14"/>
    <sheet name="Sheet17" sheetId="17" r:id="rId15"/>
    <sheet name="Sheet18" sheetId="18" r:id="rId16"/>
    <sheet name="Sheet19" sheetId="21" r:id="rId17"/>
    <sheet name="Sheet20" sheetId="22" r:id="rId18"/>
    <sheet name="Sheet1" sheetId="1" r:id="rId19"/>
    <sheet name="Dashboard" sheetId="2" r:id="rId20"/>
    <sheet name="Sheet3" sheetId="3" r:id="rId21"/>
    <sheet name="Insights &amp; Recommendations" sheetId="19" r:id="rId22"/>
  </sheets>
  <calcPr calcId="144525"/>
  <pivotCaches>
    <pivotCache cacheId="2" r:id="rId23"/>
  </pivotCaches>
</workbook>
</file>

<file path=xl/calcChain.xml><?xml version="1.0" encoding="utf-8"?>
<calcChain xmlns="http://schemas.openxmlformats.org/spreadsheetml/2006/main">
  <c r="J7" i="2" l="1"/>
  <c r="G7" i="2" l="1"/>
  <c r="D7" i="2"/>
  <c r="A7" i="2"/>
  <c r="B14" i="18" l="1"/>
  <c r="B13" i="18"/>
  <c r="B14" i="17"/>
  <c r="B13" i="17"/>
  <c r="B23" i="16"/>
  <c r="B22" i="16"/>
  <c r="B15" i="15"/>
  <c r="B13" i="15"/>
  <c r="C14" i="14"/>
  <c r="C15" i="14"/>
  <c r="C16" i="14"/>
  <c r="C17" i="14"/>
  <c r="C18" i="14"/>
  <c r="C13" i="14"/>
  <c r="C17" i="12" l="1"/>
  <c r="C15" i="12"/>
  <c r="B17" i="12"/>
  <c r="B15" i="12"/>
  <c r="C18" i="11"/>
  <c r="C16" i="11"/>
  <c r="C14" i="11"/>
  <c r="C12" i="11"/>
  <c r="D12" i="9"/>
  <c r="D10" i="9"/>
  <c r="F21" i="1"/>
  <c r="J3" i="1" l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2" i="1"/>
  <c r="J20" i="1" l="1"/>
  <c r="K2" i="1"/>
</calcChain>
</file>

<file path=xl/sharedStrings.xml><?xml version="1.0" encoding="utf-8"?>
<sst xmlns="http://schemas.openxmlformats.org/spreadsheetml/2006/main" count="292" uniqueCount="98">
  <si>
    <t>Order ID</t>
  </si>
  <si>
    <t>Date</t>
  </si>
  <si>
    <t>Product</t>
  </si>
  <si>
    <t>Laptop</t>
  </si>
  <si>
    <t>Phone</t>
  </si>
  <si>
    <t>Blender</t>
  </si>
  <si>
    <t>TV</t>
  </si>
  <si>
    <t>Fridge</t>
  </si>
  <si>
    <t>Microwave</t>
  </si>
  <si>
    <t>Category</t>
  </si>
  <si>
    <t>Electronics</t>
  </si>
  <si>
    <t>Appliances</t>
  </si>
  <si>
    <t>City</t>
  </si>
  <si>
    <t>Nairobi</t>
  </si>
  <si>
    <t>Nakuru</t>
  </si>
  <si>
    <t>Mombasa</t>
  </si>
  <si>
    <t>Kisumu</t>
  </si>
  <si>
    <t>Customer Type</t>
  </si>
  <si>
    <t>New</t>
  </si>
  <si>
    <t>Returning</t>
  </si>
  <si>
    <t>Quantity</t>
  </si>
  <si>
    <t>Unit Cost</t>
  </si>
  <si>
    <t>Unit Price</t>
  </si>
  <si>
    <t>Total Sales</t>
  </si>
  <si>
    <t>Profit</t>
  </si>
  <si>
    <t>Total Revenue</t>
  </si>
  <si>
    <t>Total Profit</t>
  </si>
  <si>
    <t>Max</t>
  </si>
  <si>
    <t>Total Quantity</t>
  </si>
  <si>
    <t>Number of orders</t>
  </si>
  <si>
    <t>Average Order Value</t>
  </si>
  <si>
    <t>Overall Profit Margin</t>
  </si>
  <si>
    <t>Row Labels</t>
  </si>
  <si>
    <t>Grand Total</t>
  </si>
  <si>
    <t>Sum of Quantity</t>
  </si>
  <si>
    <t>Sum of Total Sales</t>
  </si>
  <si>
    <t>Sum of Profit</t>
  </si>
  <si>
    <t>Total number of new customers</t>
  </si>
  <si>
    <t>Total number of returning customers</t>
  </si>
  <si>
    <t>Count of Order ID</t>
  </si>
  <si>
    <t>AOV New customers</t>
  </si>
  <si>
    <t>AOV Returning Customers</t>
  </si>
  <si>
    <t>AOV Kisumu</t>
  </si>
  <si>
    <t>AOV Mombasa</t>
  </si>
  <si>
    <t>AOV Nairobi</t>
  </si>
  <si>
    <t>AOV Nakuru</t>
  </si>
  <si>
    <t>Jan</t>
  </si>
  <si>
    <t>Feb</t>
  </si>
  <si>
    <t>Mar</t>
  </si>
  <si>
    <t>Apr</t>
  </si>
  <si>
    <t>May</t>
  </si>
  <si>
    <t>Jun</t>
  </si>
  <si>
    <t>Jul</t>
  </si>
  <si>
    <t>Aug</t>
  </si>
  <si>
    <t>Highest revenue Jun</t>
  </si>
  <si>
    <t>Lowest revenue Feb</t>
  </si>
  <si>
    <t>Highest profit jun</t>
  </si>
  <si>
    <t>Lowest profit Feb</t>
  </si>
  <si>
    <t>Column Labels</t>
  </si>
  <si>
    <t>Profit margins for each product</t>
  </si>
  <si>
    <t>Revenue per unit</t>
  </si>
  <si>
    <t>Profit per unit</t>
  </si>
  <si>
    <t>UrbanMart - Insights &amp; Recommendations</t>
  </si>
  <si>
    <t>Key Findings</t>
  </si>
  <si>
    <t>Finding</t>
  </si>
  <si>
    <t>Business Implication</t>
  </si>
  <si>
    <t>Recommendations</t>
  </si>
  <si>
    <t>Reason</t>
  </si>
  <si>
    <t>UrbanMart is highly dependent on these two products, making product availability and demand important to maintaining revenue.</t>
  </si>
  <si>
    <t>Phone and laptop contribute 51.85% of total profit.</t>
  </si>
  <si>
    <t>Phone and laptop contribute 50.78% of UrbanMarts total revenue.</t>
  </si>
  <si>
    <t>A decline in the sales or availability of these products could significantly affect overall profitability.</t>
  </si>
  <si>
    <t>UrbanMart should evaluate products based on both revenue and profitability ratger than sales volume alone.</t>
  </si>
  <si>
    <t>Returning customers generate higher revenue , profit and AOV than new customers.</t>
  </si>
  <si>
    <t>Customer retention is valuable and could contribute to stronger long_term business perfomance.</t>
  </si>
  <si>
    <t>Nairobi has the highest revenue and profit, while Kisumu has the highest AOV.</t>
  </si>
  <si>
    <t>UrbanMart has strong perfomance in Nairobi, while Kisumu may offer an opportunity to attract more high-value orders.</t>
  </si>
  <si>
    <t>February recorded the lowest monthly revenue at ksh 34,000, while June recorded the highest at ksh 210,000.</t>
  </si>
  <si>
    <t>The significant monthly fluctuations suggest that UrbanMart should investigate factors affecting sales consistency.</t>
  </si>
  <si>
    <t>Recommendation</t>
  </si>
  <si>
    <t>The average order contains approximately 3.27 units.</t>
  </si>
  <si>
    <t>Increasing the number of products purchased per order could improve revenue and profit without relying entirely on acquiring new customers.</t>
  </si>
  <si>
    <t>High revenue does not necessarily result in the highest profit margin.</t>
  </si>
  <si>
    <t>Maintain adeqaute inventory of high performing products, especially phone and laptop.</t>
  </si>
  <si>
    <t>These products contribute more than half of total revenue and profit.</t>
  </si>
  <si>
    <t>Reduce dependence on phone and laptop by improving the perfomance of other products.</t>
  </si>
  <si>
    <t>Diversifying product contribution can reduce revenue and profitability risk.</t>
  </si>
  <si>
    <t>Use cross-selling bundles, and strategic promotions to increase items per order.</t>
  </si>
  <si>
    <t>The average order contains about 3.27 units, creating an opportunity to increase order value.</t>
  </si>
  <si>
    <t>Negotiate better supplier prices and reduce unnecessary operating costs.</t>
  </si>
  <si>
    <t>Lower costs can improve profit without requiring a large increase in sales.</t>
  </si>
  <si>
    <t>Improve customer service and retention strategies.</t>
  </si>
  <si>
    <t>Returning customers currently generate higher revenue, profit, and AOV than new customers.</t>
  </si>
  <si>
    <t>Investigate the causes of low-performing months and products before making major decisions.</t>
  </si>
  <si>
    <t>Understanding underlying causes allows UrbanMart to make evidence-based improvements.</t>
  </si>
  <si>
    <t>URBANMART SALES &amp; PROFITABILITY DASHBOARD</t>
  </si>
  <si>
    <t>AOV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</si>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</sst>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Ksh&quot;#,##0"/>
    <numFmt numFmtId="165" formatCode="&quot;Ksh&quot;#,##0.00"/>
  </numFmts>
  <fonts count="8" x14ac:knownFonts="1">
    <font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sz val="16"/>
      <color theme="0"/>
      <name val="Calibri"/>
      <family val="2"/>
      <charset val="1"/>
      <scheme val="minor"/>
    </font>
    <font>
      <b/>
      <sz val="16"/>
      <color theme="0"/>
      <name val="Calibri"/>
      <family val="2"/>
      <charset val="1"/>
      <scheme val="minor"/>
    </font>
    <font>
      <b/>
      <sz val="2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2" fillId="2" borderId="0" xfId="0" applyFont="1" applyFill="1" applyAlignment="1">
      <alignment horizontal="center"/>
    </xf>
    <xf numFmtId="0" fontId="0" fillId="2" borderId="0" xfId="0" applyFill="1"/>
    <xf numFmtId="0" fontId="5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5" fillId="3" borderId="2" xfId="0" applyFont="1" applyFill="1" applyBorder="1" applyAlignment="1"/>
    <xf numFmtId="0" fontId="5" fillId="3" borderId="3" xfId="0" applyFont="1" applyFill="1" applyBorder="1" applyAlignment="1"/>
    <xf numFmtId="164" fontId="5" fillId="3" borderId="1" xfId="0" applyNumberFormat="1" applyFont="1" applyFill="1" applyBorder="1" applyAlignment="1">
      <alignment horizontal="center"/>
    </xf>
    <xf numFmtId="0" fontId="5" fillId="3" borderId="4" xfId="0" applyFont="1" applyFill="1" applyBorder="1" applyAlignment="1"/>
    <xf numFmtId="0" fontId="5" fillId="3" borderId="5" xfId="0" applyFont="1" applyFill="1" applyBorder="1" applyAlignment="1"/>
    <xf numFmtId="165" fontId="5" fillId="3" borderId="1" xfId="0" applyNumberFormat="1" applyFont="1" applyFill="1" applyBorder="1" applyAlignment="1">
      <alignment horizontal="center"/>
    </xf>
    <xf numFmtId="10" fontId="5" fillId="3" borderId="1" xfId="0" applyNumberFormat="1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[UrbanMart RETAIL.xlsx]Sheet12!PivotTable5</c:name>
    <c:fmtId val="1"/>
  </c:pivotSource>
  <c:chart>
    <c:autoTitleDeleted val="0"/>
    <c:pivotFmts>
      <c:pivotFmt>
        <c:idx val="0"/>
      </c:pivotFmt>
      <c:pivotFmt>
        <c:idx val="1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Sum of Total Sales</c:v>
                </c:pt>
              </c:strCache>
            </c:strRef>
          </c:tx>
          <c:cat>
            <c:strRef>
              <c:f>Sheet12!$A$4:$A$12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Sheet12!$B$4:$B$12</c:f>
              <c:numCache>
                <c:formatCode>General</c:formatCode>
                <c:ptCount val="8"/>
                <c:pt idx="0">
                  <c:v>200000</c:v>
                </c:pt>
                <c:pt idx="1">
                  <c:v>34000</c:v>
                </c:pt>
                <c:pt idx="2">
                  <c:v>155000</c:v>
                </c:pt>
                <c:pt idx="3">
                  <c:v>186000</c:v>
                </c:pt>
                <c:pt idx="4">
                  <c:v>106000</c:v>
                </c:pt>
                <c:pt idx="5">
                  <c:v>210000</c:v>
                </c:pt>
                <c:pt idx="6">
                  <c:v>190000</c:v>
                </c:pt>
                <c:pt idx="7">
                  <c:v>169500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Sheet12!$C$3</c:f>
              <c:strCache>
                <c:ptCount val="1"/>
                <c:pt idx="0">
                  <c:v>Sum of Profit</c:v>
                </c:pt>
              </c:strCache>
            </c:strRef>
          </c:tx>
          <c:cat>
            <c:strRef>
              <c:f>Sheet12!$A$4:$A$12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Sheet12!$C$4:$C$12</c:f>
              <c:numCache>
                <c:formatCode>General</c:formatCode>
                <c:ptCount val="8"/>
                <c:pt idx="0">
                  <c:v>50000</c:v>
                </c:pt>
                <c:pt idx="1">
                  <c:v>10000</c:v>
                </c:pt>
                <c:pt idx="2">
                  <c:v>33000</c:v>
                </c:pt>
                <c:pt idx="3">
                  <c:v>50500</c:v>
                </c:pt>
                <c:pt idx="4">
                  <c:v>28000</c:v>
                </c:pt>
                <c:pt idx="5">
                  <c:v>52000</c:v>
                </c:pt>
                <c:pt idx="6">
                  <c:v>43500</c:v>
                </c:pt>
                <c:pt idx="7">
                  <c:v>43500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418816"/>
        <c:axId val="202424704"/>
      </c:lineChart>
      <c:catAx>
        <c:axId val="202418816"/>
        <c:scaling>
          <c:orientation val="minMax"/>
        </c:scaling>
        <c:delete val="0"/>
        <c:axPos val="b"/>
        <c:majorTickMark val="out"/>
        <c:minorTickMark val="none"/>
        <c:tickLblPos val="nextTo"/>
        <c:crossAx val="202424704"/>
        <c:crosses val="autoZero"/>
        <c:auto val="1"/>
        <c:lblAlgn val="ctr"/>
        <c:lblOffset val="100"/>
        <c:noMultiLvlLbl val="0"/>
      </c:catAx>
      <c:valAx>
        <c:axId val="202424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4188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[UrbanMart RETAIL.xlsx]Sheet17!PivotTable4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Revenue by Product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Sheet17!$B$3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Sheet17!$A$4:$A$10</c:f>
              <c:strCache>
                <c:ptCount val="6"/>
                <c:pt idx="0">
                  <c:v>Blender</c:v>
                </c:pt>
                <c:pt idx="1">
                  <c:v>Fridge</c:v>
                </c:pt>
                <c:pt idx="2">
                  <c:v>Laptop</c:v>
                </c:pt>
                <c:pt idx="3">
                  <c:v>Microwave</c:v>
                </c:pt>
                <c:pt idx="4">
                  <c:v>Phone</c:v>
                </c:pt>
                <c:pt idx="5">
                  <c:v>TV</c:v>
                </c:pt>
              </c:strCache>
            </c:strRef>
          </c:cat>
          <c:val>
            <c:numRef>
              <c:f>Sheet17!$B$4:$B$10</c:f>
              <c:numCache>
                <c:formatCode>General</c:formatCode>
                <c:ptCount val="6"/>
                <c:pt idx="0">
                  <c:v>144500</c:v>
                </c:pt>
                <c:pt idx="1">
                  <c:v>195000</c:v>
                </c:pt>
                <c:pt idx="2">
                  <c:v>275000</c:v>
                </c:pt>
                <c:pt idx="3">
                  <c:v>96000</c:v>
                </c:pt>
                <c:pt idx="4">
                  <c:v>360000</c:v>
                </c:pt>
                <c:pt idx="5">
                  <c:v>180000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714368"/>
        <c:axId val="146453632"/>
      </c:barChart>
      <c:catAx>
        <c:axId val="144714368"/>
        <c:scaling>
          <c:orientation val="minMax"/>
        </c:scaling>
        <c:delete val="0"/>
        <c:axPos val="b"/>
        <c:majorTickMark val="out"/>
        <c:minorTickMark val="none"/>
        <c:tickLblPos val="nextTo"/>
        <c:crossAx val="146453632"/>
        <c:crosses val="autoZero"/>
        <c:auto val="1"/>
        <c:lblAlgn val="ctr"/>
        <c:lblOffset val="100"/>
        <c:noMultiLvlLbl val="0"/>
      </c:catAx>
      <c:valAx>
        <c:axId val="146453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714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[UrbanMart RETAIL.xlsx]Sheet18!PivotTable5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</a:t>
            </a:r>
            <a:r>
              <a:rPr lang="en-US" baseline="0"/>
              <a:t> by Product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Sheet18!$B$3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Sheet18!$A$4:$A$10</c:f>
              <c:strCache>
                <c:ptCount val="6"/>
                <c:pt idx="0">
                  <c:v>Blender</c:v>
                </c:pt>
                <c:pt idx="1">
                  <c:v>Fridge</c:v>
                </c:pt>
                <c:pt idx="2">
                  <c:v>Laptop</c:v>
                </c:pt>
                <c:pt idx="3">
                  <c:v>Microwave</c:v>
                </c:pt>
                <c:pt idx="4">
                  <c:v>Phone</c:v>
                </c:pt>
                <c:pt idx="5">
                  <c:v>TV</c:v>
                </c:pt>
              </c:strCache>
            </c:strRef>
          </c:cat>
          <c:val>
            <c:numRef>
              <c:f>Sheet18!$B$4:$B$10</c:f>
              <c:numCache>
                <c:formatCode>General</c:formatCode>
                <c:ptCount val="6"/>
                <c:pt idx="0">
                  <c:v>42500</c:v>
                </c:pt>
                <c:pt idx="1">
                  <c:v>39000</c:v>
                </c:pt>
                <c:pt idx="2">
                  <c:v>65000</c:v>
                </c:pt>
                <c:pt idx="3">
                  <c:v>28000</c:v>
                </c:pt>
                <c:pt idx="4">
                  <c:v>96000</c:v>
                </c:pt>
                <c:pt idx="5">
                  <c:v>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045440"/>
        <c:axId val="214047744"/>
      </c:barChart>
      <c:catAx>
        <c:axId val="214045440"/>
        <c:scaling>
          <c:orientation val="minMax"/>
        </c:scaling>
        <c:delete val="0"/>
        <c:axPos val="b"/>
        <c:majorTickMark val="out"/>
        <c:minorTickMark val="none"/>
        <c:tickLblPos val="nextTo"/>
        <c:crossAx val="214047744"/>
        <c:crosses val="autoZero"/>
        <c:auto val="1"/>
        <c:lblAlgn val="ctr"/>
        <c:lblOffset val="100"/>
        <c:noMultiLvlLbl val="0"/>
      </c:catAx>
      <c:valAx>
        <c:axId val="214047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0454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[UrbanMart RETAIL.xlsx]Sheet19!PivotTable1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Revenue</a:t>
            </a:r>
            <a:r>
              <a:rPr lang="en-US" baseline="0"/>
              <a:t> by City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Sheet19!$B$3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Sheet19!$A$4:$A$8</c:f>
              <c:strCache>
                <c:ptCount val="4"/>
                <c:pt idx="0">
                  <c:v>Kisumu</c:v>
                </c:pt>
                <c:pt idx="1">
                  <c:v>Mombasa</c:v>
                </c:pt>
                <c:pt idx="2">
                  <c:v>Nairobi</c:v>
                </c:pt>
                <c:pt idx="3">
                  <c:v>Nakuru</c:v>
                </c:pt>
              </c:strCache>
            </c:strRef>
          </c:cat>
          <c:val>
            <c:numRef>
              <c:f>Sheet19!$B$4:$B$8</c:f>
              <c:numCache>
                <c:formatCode>General</c:formatCode>
                <c:ptCount val="4"/>
                <c:pt idx="0">
                  <c:v>270000</c:v>
                </c:pt>
                <c:pt idx="1">
                  <c:v>251000</c:v>
                </c:pt>
                <c:pt idx="2">
                  <c:v>543500</c:v>
                </c:pt>
                <c:pt idx="3">
                  <c:v>186000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206464"/>
        <c:axId val="278095360"/>
      </c:barChart>
      <c:catAx>
        <c:axId val="252206464"/>
        <c:scaling>
          <c:orientation val="minMax"/>
        </c:scaling>
        <c:delete val="0"/>
        <c:axPos val="b"/>
        <c:majorTickMark val="out"/>
        <c:minorTickMark val="none"/>
        <c:tickLblPos val="nextTo"/>
        <c:crossAx val="278095360"/>
        <c:crosses val="autoZero"/>
        <c:auto val="1"/>
        <c:lblAlgn val="ctr"/>
        <c:lblOffset val="100"/>
        <c:noMultiLvlLbl val="0"/>
      </c:catAx>
      <c:valAx>
        <c:axId val="278095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2206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[UrbanMart RETAIL.xlsx]Sheet20!PivotTable2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Revenue</a:t>
            </a:r>
            <a:r>
              <a:rPr lang="en-US" baseline="0"/>
              <a:t> by Customer Type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Sheet20!$B$3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Sheet20!$A$4:$A$6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Sheet20!$B$4:$B$6</c:f>
              <c:numCache>
                <c:formatCode>General</c:formatCode>
                <c:ptCount val="2"/>
                <c:pt idx="0">
                  <c:v>526000</c:v>
                </c:pt>
                <c:pt idx="1">
                  <c:v>724500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1679360"/>
        <c:axId val="281709568"/>
      </c:barChart>
      <c:catAx>
        <c:axId val="281679360"/>
        <c:scaling>
          <c:orientation val="minMax"/>
        </c:scaling>
        <c:delete val="0"/>
        <c:axPos val="b"/>
        <c:majorTickMark val="out"/>
        <c:minorTickMark val="none"/>
        <c:tickLblPos val="nextTo"/>
        <c:crossAx val="281709568"/>
        <c:crosses val="autoZero"/>
        <c:auto val="1"/>
        <c:lblAlgn val="ctr"/>
        <c:lblOffset val="100"/>
        <c:noMultiLvlLbl val="0"/>
      </c:catAx>
      <c:valAx>
        <c:axId val="281709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1679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624840</xdr:colOff>
      <xdr:row>9</xdr:row>
      <xdr:rowOff>152400</xdr:rowOff>
    </xdr:from>
    <xdr:to>
      <xdr:col>7</xdr:col>
      <xdr:colOff>929640</xdr:colOff>
      <xdr:row>24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15240</xdr:rowOff>
    </xdr:from>
    <xdr:to>
      <xdr:col>6</xdr:col>
      <xdr:colOff>91440</xdr:colOff>
      <xdr:row>27</xdr:row>
      <xdr:rowOff>15240</xdr:rowOff>
    </xdr:to>
    <xdr:graphicFrame macro="">
      <xdr:nvGraphicFramePr>
        <xdr:cNvPr id="3" name="Revenue by Product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441960</xdr:colOff>
      <xdr:row>12</xdr:row>
      <xdr:rowOff>22860</xdr:rowOff>
    </xdr:from>
    <xdr:to>
      <xdr:col>12</xdr:col>
      <xdr:colOff>144780</xdr:colOff>
      <xdr:row>27</xdr:row>
      <xdr:rowOff>22860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114300</xdr:rowOff>
    </xdr:from>
    <xdr:to>
      <xdr:col>6</xdr:col>
      <xdr:colOff>121920</xdr:colOff>
      <xdr:row>44</xdr:row>
      <xdr:rowOff>22860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426720</xdr:colOff>
      <xdr:row>29</xdr:row>
      <xdr:rowOff>0</xdr:rowOff>
    </xdr:from>
    <xdr:to>
      <xdr:col>12</xdr:col>
      <xdr:colOff>129540</xdr:colOff>
      <xdr:row>44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nie Jep" refreshedDate="46261.447135416667" createdVersion="4" refreshedVersion="4" minRefreshableVersion="3" recordCount="15">
  <cacheSource type="worksheet">
    <worksheetSource ref="A1:K16" sheet="Sheet1"/>
  </cacheSource>
  <cacheFields count="11">
    <cacheField name="Order ID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Date" numFmtId="16">
      <sharedItems containsSemiMixedTypes="0" containsNonDate="0" containsDate="1" containsString="0" minDate="2026-01-05T00:00:00" maxDate="2026-08-16T00:00:00" count="15">
        <d v="2026-01-05T00:00:00"/>
        <d v="2026-01-12T00:00:00"/>
        <d v="2026-02-20T00:00:00"/>
        <d v="2026-03-03T00:00:00"/>
        <d v="2026-03-18T00:00:00"/>
        <d v="2026-04-02T00:00:00"/>
        <d v="2026-04-15T00:00:00"/>
        <d v="2026-05-10T00:00:00"/>
        <d v="2026-05-22T00:00:00"/>
        <d v="2026-06-08T00:00:00"/>
        <d v="2026-06-19T00:00:00"/>
        <d v="2026-07-05T00:00:00"/>
        <d v="2026-07-18T00:00:00"/>
        <d v="2026-08-02T00:00:00"/>
        <d v="2026-08-15T00:00:00"/>
      </sharedItems>
      <fieldGroup base="1">
        <rangePr groupBy="months" startDate="2026-01-05T00:00:00" endDate="2026-08-16T00:00:00"/>
        <groupItems count="14">
          <s v="&lt;05/01/2026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6/08/2026"/>
        </groupItems>
      </fieldGroup>
    </cacheField>
    <cacheField name="Product" numFmtId="0">
      <sharedItems count="6">
        <s v="Laptop"/>
        <s v="Phone"/>
        <s v="Blender"/>
        <s v="TV"/>
        <s v="Fridge"/>
        <s v="Microwave"/>
      </sharedItems>
    </cacheField>
    <cacheField name="Category" numFmtId="0">
      <sharedItems count="2">
        <s v="Electronics"/>
        <s v="Appliances"/>
      </sharedItems>
    </cacheField>
    <cacheField name="City" numFmtId="0">
      <sharedItems count="4">
        <s v="Nairobi"/>
        <s v="Nakuru"/>
        <s v="Mombasa"/>
        <s v="Kisumu"/>
      </sharedItems>
    </cacheField>
    <cacheField name="Customer Type" numFmtId="0">
      <sharedItems count="2">
        <s v="New"/>
        <s v="Returning"/>
      </sharedItems>
    </cacheField>
    <cacheField name="Quantity" numFmtId="0">
      <sharedItems containsSemiMixedTypes="0" containsString="0" containsNumber="1" containsInteger="1" minValue="1" maxValue="7"/>
    </cacheField>
    <cacheField name="Unit Price" numFmtId="0">
      <sharedItems containsSemiMixedTypes="0" containsString="0" containsNumber="1" containsInteger="1" minValue="8500" maxValue="65000"/>
    </cacheField>
    <cacheField name="Unit Cost" numFmtId="0">
      <sharedItems containsSemiMixedTypes="0" containsString="0" containsNumber="1" containsInteger="1" minValue="6000" maxValue="52000" count="6">
        <n v="42000"/>
        <n v="22000"/>
        <n v="6000"/>
        <n v="35000"/>
        <n v="52000"/>
        <n v="8500"/>
      </sharedItems>
    </cacheField>
    <cacheField name="Total Sales" numFmtId="0">
      <sharedItems containsSemiMixedTypes="0" containsString="0" containsNumber="1" containsInteger="1" minValue="34000" maxValue="150000" count="12">
        <n v="110000"/>
        <n v="90000"/>
        <n v="34000"/>
        <n v="65000"/>
        <n v="150000"/>
        <n v="36000"/>
        <n v="55000"/>
        <n v="51000"/>
        <n v="120000"/>
        <n v="130000"/>
        <n v="60000"/>
        <n v="59500"/>
      </sharedItems>
    </cacheField>
    <cacheField name="Profit" numFmtId="0">
      <sharedItems containsSemiMixedTypes="0" containsString="0" containsNumber="1" containsInteger="1" minValue="10000" maxValue="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n v="2"/>
    <n v="55000"/>
    <x v="0"/>
    <x v="0"/>
    <n v="26000"/>
  </r>
  <r>
    <x v="1"/>
    <x v="1"/>
    <x v="1"/>
    <x v="0"/>
    <x v="1"/>
    <x v="1"/>
    <n v="3"/>
    <n v="30000"/>
    <x v="1"/>
    <x v="1"/>
    <n v="24000"/>
  </r>
  <r>
    <x v="2"/>
    <x v="2"/>
    <x v="2"/>
    <x v="1"/>
    <x v="0"/>
    <x v="0"/>
    <n v="4"/>
    <n v="8500"/>
    <x v="2"/>
    <x v="2"/>
    <n v="10000"/>
  </r>
  <r>
    <x v="3"/>
    <x v="3"/>
    <x v="3"/>
    <x v="0"/>
    <x v="2"/>
    <x v="1"/>
    <n v="2"/>
    <n v="45000"/>
    <x v="3"/>
    <x v="1"/>
    <n v="20000"/>
  </r>
  <r>
    <x v="4"/>
    <x v="4"/>
    <x v="4"/>
    <x v="1"/>
    <x v="0"/>
    <x v="0"/>
    <n v="1"/>
    <n v="65000"/>
    <x v="4"/>
    <x v="3"/>
    <n v="13000"/>
  </r>
  <r>
    <x v="5"/>
    <x v="5"/>
    <x v="1"/>
    <x v="0"/>
    <x v="3"/>
    <x v="1"/>
    <n v="5"/>
    <n v="30000"/>
    <x v="1"/>
    <x v="4"/>
    <n v="40000"/>
  </r>
  <r>
    <x v="6"/>
    <x v="6"/>
    <x v="5"/>
    <x v="1"/>
    <x v="1"/>
    <x v="0"/>
    <n v="3"/>
    <n v="12000"/>
    <x v="5"/>
    <x v="5"/>
    <n v="10500"/>
  </r>
  <r>
    <x v="7"/>
    <x v="7"/>
    <x v="0"/>
    <x v="0"/>
    <x v="0"/>
    <x v="1"/>
    <n v="1"/>
    <n v="55000"/>
    <x v="0"/>
    <x v="6"/>
    <n v="13000"/>
  </r>
  <r>
    <x v="8"/>
    <x v="8"/>
    <x v="2"/>
    <x v="1"/>
    <x v="2"/>
    <x v="0"/>
    <n v="6"/>
    <n v="8500"/>
    <x v="2"/>
    <x v="7"/>
    <n v="15000"/>
  </r>
  <r>
    <x v="9"/>
    <x v="9"/>
    <x v="3"/>
    <x v="0"/>
    <x v="0"/>
    <x v="1"/>
    <n v="2"/>
    <n v="45000"/>
    <x v="3"/>
    <x v="1"/>
    <n v="20000"/>
  </r>
  <r>
    <x v="10"/>
    <x v="10"/>
    <x v="1"/>
    <x v="0"/>
    <x v="3"/>
    <x v="0"/>
    <n v="4"/>
    <n v="30000"/>
    <x v="1"/>
    <x v="8"/>
    <n v="32000"/>
  </r>
  <r>
    <x v="11"/>
    <x v="11"/>
    <x v="4"/>
    <x v="1"/>
    <x v="0"/>
    <x v="1"/>
    <n v="2"/>
    <n v="65000"/>
    <x v="4"/>
    <x v="9"/>
    <n v="26000"/>
  </r>
  <r>
    <x v="12"/>
    <x v="12"/>
    <x v="5"/>
    <x v="1"/>
    <x v="1"/>
    <x v="1"/>
    <n v="5"/>
    <n v="12000"/>
    <x v="5"/>
    <x v="10"/>
    <n v="17500"/>
  </r>
  <r>
    <x v="13"/>
    <x v="13"/>
    <x v="0"/>
    <x v="0"/>
    <x v="2"/>
    <x v="0"/>
    <n v="2"/>
    <n v="55000"/>
    <x v="0"/>
    <x v="0"/>
    <n v="26000"/>
  </r>
  <r>
    <x v="14"/>
    <x v="14"/>
    <x v="2"/>
    <x v="1"/>
    <x v="0"/>
    <x v="1"/>
    <n v="7"/>
    <n v="8500"/>
    <x v="2"/>
    <x v="11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0" firstHeaderRow="1" firstDataRow="1" firstDataCol="1"/>
  <pivotFields count="11">
    <pivotField showAll="0"/>
    <pivotField numFmtId="1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2"/>
        <item x="4"/>
        <item x="0"/>
        <item x="5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6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0" firstHeaderRow="1" firstDataRow="1" firstDataCol="1"/>
  <pivotFields count="11">
    <pivotField showAll="0"/>
    <pivotField numFmtId="1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2"/>
        <item x="4"/>
        <item x="0"/>
        <item x="5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0" firstHeaderRow="1" firstDataRow="1" firstDataCol="1"/>
  <pivotFields count="11">
    <pivotField showAll="0"/>
    <pivotField numFmtId="1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2"/>
        <item x="4"/>
        <item x="0"/>
        <item x="5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6" firstHeaderRow="0" firstDataRow="1" firstDataCol="1"/>
  <pivotFields count="11">
    <pivotField showAll="0"/>
    <pivotField numFmtId="1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" fld="9" baseField="0" baseItem="0"/>
    <dataField name="Sum of Profit" fld="10" baseField="0" baseItem="0"/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6" firstHeaderRow="0" firstDataRow="1" firstDataCol="1"/>
  <pivotFields count="11">
    <pivotField dataField="1" showAll="0"/>
    <pivotField numFmtId="1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" fld="9" baseField="0" baseItem="0"/>
    <dataField name="Sum of Profit" fld="10" baseField="0" baseItem="0"/>
    <dataField name="Count of Order ID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8" firstHeaderRow="0" firstDataRow="1" firstDataCol="1"/>
  <pivotFields count="11">
    <pivotField showAll="0"/>
    <pivotField numFmtId="1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/>
    <dataField name="Sum of Profi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8" firstHeaderRow="0" firstDataRow="1" firstDataCol="1"/>
  <pivotFields count="11">
    <pivotField dataField="1" showAll="0"/>
    <pivotField numFmtId="1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4" baseItem="0"/>
    <dataField name="Sum of Total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3:C12" firstHeaderRow="0" firstDataRow="1" firstDataCol="1"/>
  <pivotFields count="11">
    <pivotField showAll="0"/>
    <pivotField axis="axisRow" numFmtId="1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/>
    <dataField name="Sum of Profit" fld="1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H7" firstHeaderRow="1" firstDataRow="2" firstDataCol="1"/>
  <pivotFields count="11">
    <pivotField showAll="0"/>
    <pivotField numFmtId="16" showAll="0"/>
    <pivotField axis="axisCol" showAll="0">
      <items count="7">
        <item x="2"/>
        <item x="4"/>
        <item x="0"/>
        <item x="5"/>
        <item x="1"/>
        <item x="3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10" firstHeaderRow="0" firstDataRow="1" firstDataCol="1"/>
  <pivotFields count="11">
    <pivotField showAll="0"/>
    <pivotField numFmtId="16" showAll="0"/>
    <pivotField axis="axisRow" showAll="0">
      <items count="7">
        <item x="2"/>
        <item x="4"/>
        <item x="0"/>
        <item x="5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/>
    <dataField name="Sum of Profi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10" firstHeaderRow="0" firstDataRow="1" firstDataCol="1"/>
  <pivotFields count="11">
    <pivotField showAll="0"/>
    <pivotField numFmtId="16" showAll="0"/>
    <pivotField axis="axisRow" showAll="0">
      <items count="7">
        <item x="2"/>
        <item x="4"/>
        <item x="0"/>
        <item x="5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>
      <items count="7">
        <item x="2"/>
        <item x="5"/>
        <item x="1"/>
        <item x="3"/>
        <item x="0"/>
        <item x="4"/>
        <item t="default"/>
      </items>
    </pivotField>
    <pivotField dataField="1" showAll="0">
      <items count="13">
        <item x="2"/>
        <item x="5"/>
        <item x="7"/>
        <item x="6"/>
        <item x="11"/>
        <item x="10"/>
        <item x="3"/>
        <item x="1"/>
        <item x="0"/>
        <item x="8"/>
        <item x="9"/>
        <item x="4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" fld="9" baseField="0" baseItem="0"/>
    <dataField name="Sum of Profit" fld="10" baseField="0" baseItem="0"/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9" firstHeaderRow="1" firstDataRow="1" firstDataCol="1"/>
  <pivotFields count="11"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6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7">
  <location ref="A3:B10" firstHeaderRow="1" firstDataRow="1" firstDataCol="1"/>
  <pivotFields count="11">
    <pivotField showAll="0"/>
    <pivotField numFmtId="16" showAll="0"/>
    <pivotField axis="axisRow" showAll="0">
      <items count="7">
        <item x="2"/>
        <item x="4"/>
        <item x="0"/>
        <item x="5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10" firstHeaderRow="1" firstDataRow="1" firstDataCol="1"/>
  <pivotFields count="11">
    <pivotField showAll="0"/>
    <pivotField numFmtId="16" showAll="0"/>
    <pivotField axis="axisRow" showAll="0">
      <items count="7">
        <item x="2"/>
        <item x="4"/>
        <item x="0"/>
        <item x="5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8" firstHeaderRow="1" firstDataRow="1" firstDataCol="1"/>
  <pivotFields count="11">
    <pivotField showAll="0"/>
    <pivotField numFmtId="16"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6" firstHeaderRow="1" firstDataRow="1" firstDataCol="1"/>
  <pivotFields count="11">
    <pivotField showAll="0"/>
    <pivotField numFmtId="16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Total Sales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K3" totalsRowShown="0">
  <tableColumns count="11">
    <tableColumn id="1" name="Order ID"/>
    <tableColumn id="2" name="Date" dataDxfId="0"/>
    <tableColumn id="3" name="Product"/>
    <tableColumn id="4" name="Category"/>
    <tableColumn id="5" name="City"/>
    <tableColumn id="6" name="Customer Type"/>
    <tableColumn id="7" name="Quantity"/>
    <tableColumn id="8" name="Unit Price"/>
    <tableColumn id="9" name="Unit Cost"/>
    <tableColumn id="10" name="Total Sales"/>
    <tableColumn id="11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88671875" customWidth="1"/>
    <col min="3" max="3" width="16.44140625" customWidth="1"/>
  </cols>
  <sheetData>
    <row r="3" spans="1:2" x14ac:dyDescent="0.3">
      <c r="A3" s="3" t="s">
        <v>32</v>
      </c>
      <c r="B3" t="s">
        <v>34</v>
      </c>
    </row>
    <row r="4" spans="1:2" x14ac:dyDescent="0.3">
      <c r="A4" s="4" t="s">
        <v>5</v>
      </c>
      <c r="B4" s="5">
        <v>17</v>
      </c>
    </row>
    <row r="5" spans="1:2" x14ac:dyDescent="0.3">
      <c r="A5" s="4" t="s">
        <v>7</v>
      </c>
      <c r="B5" s="5">
        <v>3</v>
      </c>
    </row>
    <row r="6" spans="1:2" x14ac:dyDescent="0.3">
      <c r="A6" s="4" t="s">
        <v>3</v>
      </c>
      <c r="B6" s="5">
        <v>5</v>
      </c>
    </row>
    <row r="7" spans="1:2" x14ac:dyDescent="0.3">
      <c r="A7" s="4" t="s">
        <v>8</v>
      </c>
      <c r="B7" s="5">
        <v>8</v>
      </c>
    </row>
    <row r="8" spans="1:2" x14ac:dyDescent="0.3">
      <c r="A8" s="4" t="s">
        <v>4</v>
      </c>
      <c r="B8" s="5">
        <v>12</v>
      </c>
    </row>
    <row r="9" spans="1:2" x14ac:dyDescent="0.3">
      <c r="A9" s="4" t="s">
        <v>6</v>
      </c>
      <c r="B9" s="5">
        <v>4</v>
      </c>
    </row>
    <row r="10" spans="1:2" x14ac:dyDescent="0.3">
      <c r="A10" s="4" t="s">
        <v>33</v>
      </c>
      <c r="B10" s="5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4" customWidth="1"/>
  </cols>
  <sheetData>
    <row r="3" spans="1:2" x14ac:dyDescent="0.3">
      <c r="A3" s="3" t="s">
        <v>32</v>
      </c>
      <c r="B3" t="s">
        <v>36</v>
      </c>
    </row>
    <row r="4" spans="1:2" x14ac:dyDescent="0.3">
      <c r="A4" s="4" t="s">
        <v>5</v>
      </c>
      <c r="B4" s="5">
        <v>42500</v>
      </c>
    </row>
    <row r="5" spans="1:2" x14ac:dyDescent="0.3">
      <c r="A5" s="4" t="s">
        <v>7</v>
      </c>
      <c r="B5" s="5">
        <v>39000</v>
      </c>
    </row>
    <row r="6" spans="1:2" x14ac:dyDescent="0.3">
      <c r="A6" s="4" t="s">
        <v>3</v>
      </c>
      <c r="B6" s="5">
        <v>65000</v>
      </c>
    </row>
    <row r="7" spans="1:2" x14ac:dyDescent="0.3">
      <c r="A7" s="4" t="s">
        <v>8</v>
      </c>
      <c r="B7" s="5">
        <v>28000</v>
      </c>
    </row>
    <row r="8" spans="1:2" x14ac:dyDescent="0.3">
      <c r="A8" s="4" t="s">
        <v>4</v>
      </c>
      <c r="B8" s="5">
        <v>96000</v>
      </c>
    </row>
    <row r="9" spans="1:2" x14ac:dyDescent="0.3">
      <c r="A9" s="4" t="s">
        <v>6</v>
      </c>
      <c r="B9" s="5">
        <v>40000</v>
      </c>
    </row>
    <row r="10" spans="1:2" x14ac:dyDescent="0.3">
      <c r="A10" s="4" t="s">
        <v>33</v>
      </c>
      <c r="B10" s="5">
        <v>310500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3" t="s">
        <v>32</v>
      </c>
      <c r="B3" t="s">
        <v>35</v>
      </c>
    </row>
    <row r="4" spans="1:2" x14ac:dyDescent="0.3">
      <c r="A4" s="4" t="s">
        <v>5</v>
      </c>
      <c r="B4" s="5">
        <v>144500</v>
      </c>
    </row>
    <row r="5" spans="1:2" x14ac:dyDescent="0.3">
      <c r="A5" s="4" t="s">
        <v>7</v>
      </c>
      <c r="B5" s="5">
        <v>195000</v>
      </c>
    </row>
    <row r="6" spans="1:2" x14ac:dyDescent="0.3">
      <c r="A6" s="4" t="s">
        <v>3</v>
      </c>
      <c r="B6" s="5">
        <v>275000</v>
      </c>
    </row>
    <row r="7" spans="1:2" x14ac:dyDescent="0.3">
      <c r="A7" s="4" t="s">
        <v>8</v>
      </c>
      <c r="B7" s="5">
        <v>96000</v>
      </c>
    </row>
    <row r="8" spans="1:2" x14ac:dyDescent="0.3">
      <c r="A8" s="4" t="s">
        <v>4</v>
      </c>
      <c r="B8" s="5">
        <v>360000</v>
      </c>
    </row>
    <row r="9" spans="1:2" x14ac:dyDescent="0.3">
      <c r="A9" s="4" t="s">
        <v>6</v>
      </c>
      <c r="B9" s="5">
        <v>180000</v>
      </c>
    </row>
    <row r="10" spans="1:2" x14ac:dyDescent="0.3">
      <c r="A10" s="4" t="s">
        <v>33</v>
      </c>
      <c r="B10" s="5">
        <v>1250500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3" width="12.109375" bestFit="1" customWidth="1"/>
    <col min="4" max="4" width="14.88671875" bestFit="1" customWidth="1"/>
  </cols>
  <sheetData>
    <row r="3" spans="1:4" x14ac:dyDescent="0.3">
      <c r="A3" s="3" t="s">
        <v>32</v>
      </c>
      <c r="B3" t="s">
        <v>35</v>
      </c>
      <c r="C3" t="s">
        <v>36</v>
      </c>
      <c r="D3" t="s">
        <v>34</v>
      </c>
    </row>
    <row r="4" spans="1:4" x14ac:dyDescent="0.3">
      <c r="A4" s="4" t="s">
        <v>11</v>
      </c>
      <c r="B4" s="5">
        <v>435500</v>
      </c>
      <c r="C4" s="5">
        <v>109500</v>
      </c>
      <c r="D4" s="5">
        <v>28</v>
      </c>
    </row>
    <row r="5" spans="1:4" x14ac:dyDescent="0.3">
      <c r="A5" s="4" t="s">
        <v>10</v>
      </c>
      <c r="B5" s="5">
        <v>815000</v>
      </c>
      <c r="C5" s="5">
        <v>201000</v>
      </c>
      <c r="D5" s="5">
        <v>21</v>
      </c>
    </row>
    <row r="6" spans="1:4" x14ac:dyDescent="0.3">
      <c r="A6" s="4" t="s">
        <v>33</v>
      </c>
      <c r="B6" s="5">
        <v>1250500</v>
      </c>
      <c r="C6" s="5">
        <v>310500</v>
      </c>
      <c r="D6" s="5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8" sqref="C8"/>
    </sheetView>
  </sheetViews>
  <sheetFormatPr defaultRowHeight="14.4" x14ac:dyDescent="0.3"/>
  <cols>
    <col min="3" max="3" width="8.88671875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2"/>
  <sheetViews>
    <sheetView workbookViewId="0">
      <selection activeCell="D10" sqref="D10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3" width="12.109375" bestFit="1" customWidth="1"/>
    <col min="4" max="4" width="15.88671875" customWidth="1"/>
  </cols>
  <sheetData>
    <row r="3" spans="1:4" x14ac:dyDescent="0.3">
      <c r="A3" s="3" t="s">
        <v>32</v>
      </c>
      <c r="B3" t="s">
        <v>35</v>
      </c>
      <c r="C3" t="s">
        <v>36</v>
      </c>
      <c r="D3" t="s">
        <v>39</v>
      </c>
    </row>
    <row r="4" spans="1:4" x14ac:dyDescent="0.3">
      <c r="A4" s="4" t="s">
        <v>18</v>
      </c>
      <c r="B4" s="5">
        <v>526000</v>
      </c>
      <c r="C4" s="5">
        <v>132500</v>
      </c>
      <c r="D4" s="5">
        <v>7</v>
      </c>
    </row>
    <row r="5" spans="1:4" x14ac:dyDescent="0.3">
      <c r="A5" s="4" t="s">
        <v>19</v>
      </c>
      <c r="B5" s="5">
        <v>724500</v>
      </c>
      <c r="C5" s="5">
        <v>178000</v>
      </c>
      <c r="D5" s="5">
        <v>8</v>
      </c>
    </row>
    <row r="6" spans="1:4" x14ac:dyDescent="0.3">
      <c r="A6" s="4" t="s">
        <v>33</v>
      </c>
      <c r="B6" s="5">
        <v>1250500</v>
      </c>
      <c r="C6" s="5">
        <v>310500</v>
      </c>
      <c r="D6" s="5">
        <v>15</v>
      </c>
    </row>
    <row r="9" spans="1:4" x14ac:dyDescent="0.3">
      <c r="D9" s="2" t="s">
        <v>40</v>
      </c>
    </row>
    <row r="10" spans="1:4" x14ac:dyDescent="0.3">
      <c r="D10">
        <f>B4/D4</f>
        <v>75142.857142857145</v>
      </c>
    </row>
    <row r="11" spans="1:4" x14ac:dyDescent="0.3">
      <c r="D11" t="s">
        <v>41</v>
      </c>
    </row>
    <row r="12" spans="1:4" x14ac:dyDescent="0.3">
      <c r="D12">
        <f>B5/D5</f>
        <v>90562.5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3" width="12.109375" bestFit="1" customWidth="1"/>
  </cols>
  <sheetData>
    <row r="3" spans="1:3" x14ac:dyDescent="0.3">
      <c r="A3" s="3" t="s">
        <v>32</v>
      </c>
      <c r="B3" t="s">
        <v>35</v>
      </c>
      <c r="C3" t="s">
        <v>36</v>
      </c>
    </row>
    <row r="4" spans="1:3" x14ac:dyDescent="0.3">
      <c r="A4" s="4" t="s">
        <v>16</v>
      </c>
      <c r="B4" s="5">
        <v>270000</v>
      </c>
      <c r="C4" s="5">
        <v>72000</v>
      </c>
    </row>
    <row r="5" spans="1:3" x14ac:dyDescent="0.3">
      <c r="A5" s="4" t="s">
        <v>15</v>
      </c>
      <c r="B5" s="5">
        <v>251000</v>
      </c>
      <c r="C5" s="5">
        <v>61000</v>
      </c>
    </row>
    <row r="6" spans="1:3" x14ac:dyDescent="0.3">
      <c r="A6" s="4" t="s">
        <v>13</v>
      </c>
      <c r="B6" s="5">
        <v>543500</v>
      </c>
      <c r="C6" s="5">
        <v>125500</v>
      </c>
    </row>
    <row r="7" spans="1:3" x14ac:dyDescent="0.3">
      <c r="A7" s="4" t="s">
        <v>14</v>
      </c>
      <c r="B7" s="5">
        <v>186000</v>
      </c>
      <c r="C7" s="5">
        <v>52000</v>
      </c>
    </row>
    <row r="8" spans="1:3" x14ac:dyDescent="0.3">
      <c r="A8" s="4" t="s">
        <v>33</v>
      </c>
      <c r="B8" s="5">
        <v>1250500</v>
      </c>
      <c r="C8" s="5">
        <v>310500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8"/>
  <sheetViews>
    <sheetView workbookViewId="0">
      <selection activeCell="C19" sqref="C19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16.44140625" bestFit="1" customWidth="1"/>
  </cols>
  <sheetData>
    <row r="3" spans="1:3" x14ac:dyDescent="0.3">
      <c r="A3" s="3" t="s">
        <v>32</v>
      </c>
      <c r="B3" t="s">
        <v>39</v>
      </c>
      <c r="C3" t="s">
        <v>35</v>
      </c>
    </row>
    <row r="4" spans="1:3" x14ac:dyDescent="0.3">
      <c r="A4" s="4" t="s">
        <v>16</v>
      </c>
      <c r="B4" s="5">
        <v>2</v>
      </c>
      <c r="C4" s="5">
        <v>270000</v>
      </c>
    </row>
    <row r="5" spans="1:3" x14ac:dyDescent="0.3">
      <c r="A5" s="4" t="s">
        <v>15</v>
      </c>
      <c r="B5" s="5">
        <v>3</v>
      </c>
      <c r="C5" s="5">
        <v>251000</v>
      </c>
    </row>
    <row r="6" spans="1:3" x14ac:dyDescent="0.3">
      <c r="A6" s="4" t="s">
        <v>13</v>
      </c>
      <c r="B6" s="5">
        <v>7</v>
      </c>
      <c r="C6" s="5">
        <v>543500</v>
      </c>
    </row>
    <row r="7" spans="1:3" x14ac:dyDescent="0.3">
      <c r="A7" s="4" t="s">
        <v>14</v>
      </c>
      <c r="B7" s="5">
        <v>3</v>
      </c>
      <c r="C7" s="5">
        <v>186000</v>
      </c>
    </row>
    <row r="8" spans="1:3" x14ac:dyDescent="0.3">
      <c r="A8" s="4" t="s">
        <v>33</v>
      </c>
      <c r="B8" s="5">
        <v>15</v>
      </c>
      <c r="C8" s="5">
        <v>1250500</v>
      </c>
    </row>
    <row r="11" spans="1:3" x14ac:dyDescent="0.3">
      <c r="C11" t="s">
        <v>42</v>
      </c>
    </row>
    <row r="12" spans="1:3" x14ac:dyDescent="0.3">
      <c r="C12">
        <f>C4/B4</f>
        <v>135000</v>
      </c>
    </row>
    <row r="13" spans="1:3" x14ac:dyDescent="0.3">
      <c r="C13" t="s">
        <v>43</v>
      </c>
    </row>
    <row r="14" spans="1:3" x14ac:dyDescent="0.3">
      <c r="C14">
        <f>C5/B5</f>
        <v>83666.666666666672</v>
      </c>
    </row>
    <row r="15" spans="1:3" x14ac:dyDescent="0.3">
      <c r="C15" t="s">
        <v>44</v>
      </c>
    </row>
    <row r="16" spans="1:3" x14ac:dyDescent="0.3">
      <c r="C16">
        <f>C6/B6</f>
        <v>77642.857142857145</v>
      </c>
    </row>
    <row r="17" spans="3:3" x14ac:dyDescent="0.3">
      <c r="C17" t="s">
        <v>45</v>
      </c>
    </row>
    <row r="18" spans="3:3" x14ac:dyDescent="0.3">
      <c r="C18">
        <f>C7/B7</f>
        <v>62000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7"/>
  <sheetViews>
    <sheetView workbookViewId="0">
      <selection activeCell="G29" sqref="G29"/>
    </sheetView>
  </sheetViews>
  <sheetFormatPr defaultRowHeight="14.4" x14ac:dyDescent="0.3"/>
  <cols>
    <col min="1" max="1" width="12.5546875" customWidth="1"/>
    <col min="2" max="2" width="16.44140625" customWidth="1"/>
    <col min="3" max="3" width="19.88671875" customWidth="1"/>
    <col min="4" max="15" width="15.5546875" bestFit="1" customWidth="1"/>
    <col min="16" max="16" width="10.77734375" bestFit="1" customWidth="1"/>
  </cols>
  <sheetData>
    <row r="3" spans="1:3" x14ac:dyDescent="0.3">
      <c r="A3" s="3" t="s">
        <v>32</v>
      </c>
      <c r="B3" t="s">
        <v>35</v>
      </c>
      <c r="C3" t="s">
        <v>36</v>
      </c>
    </row>
    <row r="4" spans="1:3" x14ac:dyDescent="0.3">
      <c r="A4" s="6" t="s">
        <v>46</v>
      </c>
      <c r="B4" s="5">
        <v>200000</v>
      </c>
      <c r="C4" s="5">
        <v>50000</v>
      </c>
    </row>
    <row r="5" spans="1:3" x14ac:dyDescent="0.3">
      <c r="A5" s="6" t="s">
        <v>47</v>
      </c>
      <c r="B5" s="5">
        <v>34000</v>
      </c>
      <c r="C5" s="5">
        <v>10000</v>
      </c>
    </row>
    <row r="6" spans="1:3" x14ac:dyDescent="0.3">
      <c r="A6" s="6" t="s">
        <v>48</v>
      </c>
      <c r="B6" s="5">
        <v>155000</v>
      </c>
      <c r="C6" s="5">
        <v>33000</v>
      </c>
    </row>
    <row r="7" spans="1:3" x14ac:dyDescent="0.3">
      <c r="A7" s="6" t="s">
        <v>49</v>
      </c>
      <c r="B7" s="5">
        <v>186000</v>
      </c>
      <c r="C7" s="5">
        <v>50500</v>
      </c>
    </row>
    <row r="8" spans="1:3" x14ac:dyDescent="0.3">
      <c r="A8" s="6" t="s">
        <v>50</v>
      </c>
      <c r="B8" s="5">
        <v>106000</v>
      </c>
      <c r="C8" s="5">
        <v>28000</v>
      </c>
    </row>
    <row r="9" spans="1:3" x14ac:dyDescent="0.3">
      <c r="A9" s="6" t="s">
        <v>51</v>
      </c>
      <c r="B9" s="5">
        <v>210000</v>
      </c>
      <c r="C9" s="5">
        <v>52000</v>
      </c>
    </row>
    <row r="10" spans="1:3" x14ac:dyDescent="0.3">
      <c r="A10" s="6" t="s">
        <v>52</v>
      </c>
      <c r="B10" s="5">
        <v>190000</v>
      </c>
      <c r="C10" s="5">
        <v>43500</v>
      </c>
    </row>
    <row r="11" spans="1:3" x14ac:dyDescent="0.3">
      <c r="A11" s="6" t="s">
        <v>53</v>
      </c>
      <c r="B11" s="5">
        <v>169500</v>
      </c>
      <c r="C11" s="5">
        <v>43500</v>
      </c>
    </row>
    <row r="12" spans="1:3" x14ac:dyDescent="0.3">
      <c r="A12" s="6" t="s">
        <v>33</v>
      </c>
      <c r="B12" s="5">
        <v>1250500</v>
      </c>
      <c r="C12" s="5">
        <v>310500</v>
      </c>
    </row>
    <row r="14" spans="1:3" x14ac:dyDescent="0.3">
      <c r="B14" t="s">
        <v>54</v>
      </c>
      <c r="C14" t="s">
        <v>56</v>
      </c>
    </row>
    <row r="15" spans="1:3" x14ac:dyDescent="0.3">
      <c r="B15">
        <f>MAX(B4:B11)</f>
        <v>210000</v>
      </c>
      <c r="C15">
        <f>MAX(C4:C11)</f>
        <v>52000</v>
      </c>
    </row>
    <row r="16" spans="1:3" x14ac:dyDescent="0.3">
      <c r="B16" t="s">
        <v>55</v>
      </c>
      <c r="C16" t="s">
        <v>57</v>
      </c>
    </row>
    <row r="17" spans="2:3" x14ac:dyDescent="0.3">
      <c r="B17">
        <f>MIN(B4:B11)</f>
        <v>34000</v>
      </c>
      <c r="C17">
        <f>MIN(C4:C11)</f>
        <v>10000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7"/>
  <sheetViews>
    <sheetView workbookViewId="0">
      <selection activeCell="G31" sqref="G31"/>
    </sheetView>
  </sheetViews>
  <sheetFormatPr defaultRowHeight="14.4" x14ac:dyDescent="0.3"/>
  <cols>
    <col min="1" max="1" width="14.88671875" customWidth="1"/>
    <col min="2" max="2" width="15.5546875" bestFit="1" customWidth="1"/>
    <col min="3" max="3" width="6.109375" customWidth="1"/>
    <col min="4" max="4" width="6.88671875" customWidth="1"/>
    <col min="5" max="5" width="10.33203125" bestFit="1" customWidth="1"/>
    <col min="6" max="6" width="6.44140625" customWidth="1"/>
    <col min="7" max="7" width="3.21875" customWidth="1"/>
    <col min="8" max="8" width="35.33203125" customWidth="1"/>
  </cols>
  <sheetData>
    <row r="3" spans="1:8" x14ac:dyDescent="0.3">
      <c r="A3" s="3" t="s">
        <v>34</v>
      </c>
      <c r="B3" s="3" t="s">
        <v>58</v>
      </c>
    </row>
    <row r="4" spans="1:8" x14ac:dyDescent="0.3">
      <c r="A4" s="3" t="s">
        <v>32</v>
      </c>
      <c r="B4" t="s">
        <v>5</v>
      </c>
      <c r="C4" t="s">
        <v>7</v>
      </c>
      <c r="D4" t="s">
        <v>3</v>
      </c>
      <c r="E4" t="s">
        <v>8</v>
      </c>
      <c r="F4" t="s">
        <v>4</v>
      </c>
      <c r="G4" t="s">
        <v>6</v>
      </c>
      <c r="H4" t="s">
        <v>33</v>
      </c>
    </row>
    <row r="5" spans="1:8" x14ac:dyDescent="0.3">
      <c r="A5" s="4" t="s">
        <v>18</v>
      </c>
      <c r="B5" s="5">
        <v>10</v>
      </c>
      <c r="C5" s="5">
        <v>1</v>
      </c>
      <c r="D5" s="5">
        <v>4</v>
      </c>
      <c r="E5" s="5">
        <v>3</v>
      </c>
      <c r="F5" s="5">
        <v>4</v>
      </c>
      <c r="G5" s="5"/>
      <c r="H5" s="5">
        <v>22</v>
      </c>
    </row>
    <row r="6" spans="1:8" x14ac:dyDescent="0.3">
      <c r="A6" s="4" t="s">
        <v>19</v>
      </c>
      <c r="B6" s="5">
        <v>7</v>
      </c>
      <c r="C6" s="5">
        <v>2</v>
      </c>
      <c r="D6" s="5">
        <v>1</v>
      </c>
      <c r="E6" s="5">
        <v>5</v>
      </c>
      <c r="F6" s="5">
        <v>8</v>
      </c>
      <c r="G6" s="5">
        <v>4</v>
      </c>
      <c r="H6" s="5">
        <v>27</v>
      </c>
    </row>
    <row r="7" spans="1:8" x14ac:dyDescent="0.3">
      <c r="A7" s="4" t="s">
        <v>33</v>
      </c>
      <c r="B7" s="5">
        <v>17</v>
      </c>
      <c r="C7" s="5">
        <v>3</v>
      </c>
      <c r="D7" s="5">
        <v>5</v>
      </c>
      <c r="E7" s="5">
        <v>8</v>
      </c>
      <c r="F7" s="5">
        <v>12</v>
      </c>
      <c r="G7" s="5">
        <v>4</v>
      </c>
      <c r="H7" s="5">
        <v>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8"/>
  <sheetViews>
    <sheetView workbookViewId="0">
      <selection activeCell="C26" sqref="C26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3" width="29.109375" customWidth="1"/>
  </cols>
  <sheetData>
    <row r="3" spans="1:3" x14ac:dyDescent="0.3">
      <c r="A3" s="3" t="s">
        <v>32</v>
      </c>
      <c r="B3" t="s">
        <v>35</v>
      </c>
      <c r="C3" t="s">
        <v>36</v>
      </c>
    </row>
    <row r="4" spans="1:3" x14ac:dyDescent="0.3">
      <c r="A4" s="4" t="s">
        <v>5</v>
      </c>
      <c r="B4" s="5">
        <v>144500</v>
      </c>
      <c r="C4" s="5">
        <v>42500</v>
      </c>
    </row>
    <row r="5" spans="1:3" x14ac:dyDescent="0.3">
      <c r="A5" s="4" t="s">
        <v>7</v>
      </c>
      <c r="B5" s="5">
        <v>195000</v>
      </c>
      <c r="C5" s="5">
        <v>39000</v>
      </c>
    </row>
    <row r="6" spans="1:3" x14ac:dyDescent="0.3">
      <c r="A6" s="4" t="s">
        <v>3</v>
      </c>
      <c r="B6" s="5">
        <v>275000</v>
      </c>
      <c r="C6" s="5">
        <v>65000</v>
      </c>
    </row>
    <row r="7" spans="1:3" x14ac:dyDescent="0.3">
      <c r="A7" s="4" t="s">
        <v>8</v>
      </c>
      <c r="B7" s="5">
        <v>96000</v>
      </c>
      <c r="C7" s="5">
        <v>28000</v>
      </c>
    </row>
    <row r="8" spans="1:3" x14ac:dyDescent="0.3">
      <c r="A8" s="4" t="s">
        <v>4</v>
      </c>
      <c r="B8" s="5">
        <v>360000</v>
      </c>
      <c r="C8" s="5">
        <v>96000</v>
      </c>
    </row>
    <row r="9" spans="1:3" x14ac:dyDescent="0.3">
      <c r="A9" s="4" t="s">
        <v>6</v>
      </c>
      <c r="B9" s="5">
        <v>180000</v>
      </c>
      <c r="C9" s="5">
        <v>40000</v>
      </c>
    </row>
    <row r="10" spans="1:3" x14ac:dyDescent="0.3">
      <c r="A10" s="4" t="s">
        <v>33</v>
      </c>
      <c r="B10" s="5">
        <v>1250500</v>
      </c>
      <c r="C10" s="5">
        <v>310500</v>
      </c>
    </row>
    <row r="12" spans="1:3" x14ac:dyDescent="0.3">
      <c r="C12" t="s">
        <v>59</v>
      </c>
    </row>
    <row r="13" spans="1:3" x14ac:dyDescent="0.3">
      <c r="B13" t="s">
        <v>5</v>
      </c>
      <c r="C13">
        <f>(C4/B4)*100</f>
        <v>29.411764705882355</v>
      </c>
    </row>
    <row r="14" spans="1:3" x14ac:dyDescent="0.3">
      <c r="B14" t="s">
        <v>7</v>
      </c>
      <c r="C14">
        <f t="shared" ref="C14:C18" si="0">(C5/B5)*100</f>
        <v>20</v>
      </c>
    </row>
    <row r="15" spans="1:3" x14ac:dyDescent="0.3">
      <c r="B15" t="s">
        <v>3</v>
      </c>
      <c r="C15">
        <f t="shared" si="0"/>
        <v>23.636363636363637</v>
      </c>
    </row>
    <row r="16" spans="1:3" x14ac:dyDescent="0.3">
      <c r="B16" t="s">
        <v>8</v>
      </c>
      <c r="C16">
        <f t="shared" si="0"/>
        <v>29.166666666666668</v>
      </c>
    </row>
    <row r="17" spans="2:3" x14ac:dyDescent="0.3">
      <c r="B17" t="s">
        <v>4</v>
      </c>
      <c r="C17">
        <f t="shared" si="0"/>
        <v>26.666666666666668</v>
      </c>
    </row>
    <row r="18" spans="2:3" x14ac:dyDescent="0.3">
      <c r="B18" t="s">
        <v>6</v>
      </c>
      <c r="C18">
        <f t="shared" si="0"/>
        <v>22.222222222222221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5"/>
  <sheetViews>
    <sheetView workbookViewId="0">
      <selection activeCell="B16" sqref="B16"/>
    </sheetView>
  </sheetViews>
  <sheetFormatPr defaultRowHeight="14.4" x14ac:dyDescent="0.3"/>
  <cols>
    <col min="1" max="1" width="12.5546875" customWidth="1"/>
    <col min="2" max="2" width="29" customWidth="1"/>
    <col min="3" max="3" width="12.109375" bestFit="1" customWidth="1"/>
    <col min="4" max="4" width="14.88671875" bestFit="1" customWidth="1"/>
  </cols>
  <sheetData>
    <row r="3" spans="1:4" x14ac:dyDescent="0.3">
      <c r="A3" s="3" t="s">
        <v>32</v>
      </c>
      <c r="B3" t="s">
        <v>35</v>
      </c>
      <c r="C3" t="s">
        <v>36</v>
      </c>
      <c r="D3" t="s">
        <v>34</v>
      </c>
    </row>
    <row r="4" spans="1:4" x14ac:dyDescent="0.3">
      <c r="A4" s="4" t="s">
        <v>5</v>
      </c>
      <c r="B4" s="5">
        <v>144500</v>
      </c>
      <c r="C4" s="5">
        <v>42500</v>
      </c>
      <c r="D4" s="5">
        <v>17</v>
      </c>
    </row>
    <row r="5" spans="1:4" x14ac:dyDescent="0.3">
      <c r="A5" s="4" t="s">
        <v>7</v>
      </c>
      <c r="B5" s="5">
        <v>195000</v>
      </c>
      <c r="C5" s="5">
        <v>39000</v>
      </c>
      <c r="D5" s="5">
        <v>3</v>
      </c>
    </row>
    <row r="6" spans="1:4" x14ac:dyDescent="0.3">
      <c r="A6" s="4" t="s">
        <v>3</v>
      </c>
      <c r="B6" s="5">
        <v>275000</v>
      </c>
      <c r="C6" s="5">
        <v>65000</v>
      </c>
      <c r="D6" s="5">
        <v>5</v>
      </c>
    </row>
    <row r="7" spans="1:4" x14ac:dyDescent="0.3">
      <c r="A7" s="4" t="s">
        <v>8</v>
      </c>
      <c r="B7" s="5">
        <v>96000</v>
      </c>
      <c r="C7" s="5">
        <v>28000</v>
      </c>
      <c r="D7" s="5">
        <v>8</v>
      </c>
    </row>
    <row r="8" spans="1:4" x14ac:dyDescent="0.3">
      <c r="A8" s="4" t="s">
        <v>4</v>
      </c>
      <c r="B8" s="5">
        <v>360000</v>
      </c>
      <c r="C8" s="5">
        <v>96000</v>
      </c>
      <c r="D8" s="5">
        <v>12</v>
      </c>
    </row>
    <row r="9" spans="1:4" x14ac:dyDescent="0.3">
      <c r="A9" s="4" t="s">
        <v>6</v>
      </c>
      <c r="B9" s="5">
        <v>180000</v>
      </c>
      <c r="C9" s="5">
        <v>40000</v>
      </c>
      <c r="D9" s="5">
        <v>4</v>
      </c>
    </row>
    <row r="10" spans="1:4" x14ac:dyDescent="0.3">
      <c r="A10" s="4" t="s">
        <v>33</v>
      </c>
      <c r="B10" s="5">
        <v>1250500</v>
      </c>
      <c r="C10" s="5">
        <v>310500</v>
      </c>
      <c r="D10" s="5">
        <v>49</v>
      </c>
    </row>
    <row r="12" spans="1:4" x14ac:dyDescent="0.3">
      <c r="B12" t="s">
        <v>60</v>
      </c>
    </row>
    <row r="13" spans="1:4" x14ac:dyDescent="0.3">
      <c r="B13">
        <f>(B10/D10)</f>
        <v>25520.408163265307</v>
      </c>
    </row>
    <row r="14" spans="1:4" x14ac:dyDescent="0.3">
      <c r="B14" t="s">
        <v>61</v>
      </c>
    </row>
    <row r="15" spans="1:4" x14ac:dyDescent="0.3">
      <c r="B15">
        <f>(C10/D10)</f>
        <v>6336.7346938775509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3"/>
  <sheetViews>
    <sheetView workbookViewId="0">
      <selection activeCell="B24" sqref="B24"/>
    </sheetView>
  </sheetViews>
  <sheetFormatPr defaultRowHeight="14.4" x14ac:dyDescent="0.3"/>
  <cols>
    <col min="1" max="1" width="12.5546875" bestFit="1" customWidth="1"/>
    <col min="2" max="2" width="22.88671875" customWidth="1"/>
  </cols>
  <sheetData>
    <row r="3" spans="1:2" x14ac:dyDescent="0.3">
      <c r="A3" s="3" t="s">
        <v>32</v>
      </c>
      <c r="B3" t="s">
        <v>34</v>
      </c>
    </row>
    <row r="4" spans="1:2" x14ac:dyDescent="0.3">
      <c r="A4" s="4">
        <v>1</v>
      </c>
      <c r="B4" s="5">
        <v>2</v>
      </c>
    </row>
    <row r="5" spans="1:2" x14ac:dyDescent="0.3">
      <c r="A5" s="4">
        <v>2</v>
      </c>
      <c r="B5" s="5">
        <v>3</v>
      </c>
    </row>
    <row r="6" spans="1:2" x14ac:dyDescent="0.3">
      <c r="A6" s="4">
        <v>3</v>
      </c>
      <c r="B6" s="5">
        <v>4</v>
      </c>
    </row>
    <row r="7" spans="1:2" x14ac:dyDescent="0.3">
      <c r="A7" s="4">
        <v>4</v>
      </c>
      <c r="B7" s="5">
        <v>2</v>
      </c>
    </row>
    <row r="8" spans="1:2" x14ac:dyDescent="0.3">
      <c r="A8" s="4">
        <v>5</v>
      </c>
      <c r="B8" s="5">
        <v>1</v>
      </c>
    </row>
    <row r="9" spans="1:2" x14ac:dyDescent="0.3">
      <c r="A9" s="4">
        <v>6</v>
      </c>
      <c r="B9" s="5">
        <v>5</v>
      </c>
    </row>
    <row r="10" spans="1:2" x14ac:dyDescent="0.3">
      <c r="A10" s="4">
        <v>7</v>
      </c>
      <c r="B10" s="5">
        <v>3</v>
      </c>
    </row>
    <row r="11" spans="1:2" x14ac:dyDescent="0.3">
      <c r="A11" s="4">
        <v>8</v>
      </c>
      <c r="B11" s="5">
        <v>1</v>
      </c>
    </row>
    <row r="12" spans="1:2" x14ac:dyDescent="0.3">
      <c r="A12" s="4">
        <v>9</v>
      </c>
      <c r="B12" s="5">
        <v>6</v>
      </c>
    </row>
    <row r="13" spans="1:2" x14ac:dyDescent="0.3">
      <c r="A13" s="4">
        <v>10</v>
      </c>
      <c r="B13" s="5">
        <v>2</v>
      </c>
    </row>
    <row r="14" spans="1:2" x14ac:dyDescent="0.3">
      <c r="A14" s="4">
        <v>11</v>
      </c>
      <c r="B14" s="5">
        <v>4</v>
      </c>
    </row>
    <row r="15" spans="1:2" x14ac:dyDescent="0.3">
      <c r="A15" s="4">
        <v>12</v>
      </c>
      <c r="B15" s="5">
        <v>2</v>
      </c>
    </row>
    <row r="16" spans="1:2" x14ac:dyDescent="0.3">
      <c r="A16" s="4">
        <v>13</v>
      </c>
      <c r="B16" s="5">
        <v>5</v>
      </c>
    </row>
    <row r="17" spans="1:2" x14ac:dyDescent="0.3">
      <c r="A17" s="4">
        <v>14</v>
      </c>
      <c r="B17" s="5">
        <v>2</v>
      </c>
    </row>
    <row r="18" spans="1:2" x14ac:dyDescent="0.3">
      <c r="A18" s="4">
        <v>15</v>
      </c>
      <c r="B18" s="5">
        <v>7</v>
      </c>
    </row>
    <row r="19" spans="1:2" x14ac:dyDescent="0.3">
      <c r="A19" s="4" t="s">
        <v>33</v>
      </c>
      <c r="B19" s="5">
        <v>49</v>
      </c>
    </row>
    <row r="22" spans="1:2" x14ac:dyDescent="0.3">
      <c r="B22">
        <f>MAX(B4:B18)</f>
        <v>7</v>
      </c>
    </row>
    <row r="23" spans="1:2" x14ac:dyDescent="0.3">
      <c r="B23">
        <f>AVERAGE(B4:B18)</f>
        <v>3.2666666666666666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J12" sqref="J12"/>
    </sheetView>
  </sheetViews>
  <sheetFormatPr defaultRowHeight="14.4" x14ac:dyDescent="0.3"/>
  <cols>
    <col min="1" max="1" width="9.88671875" customWidth="1"/>
    <col min="2" max="2" width="12" customWidth="1"/>
    <col min="3" max="3" width="9.5546875" customWidth="1"/>
    <col min="4" max="4" width="10.44140625" customWidth="1"/>
    <col min="6" max="6" width="15.5546875" customWidth="1"/>
    <col min="7" max="7" width="10.21875" customWidth="1"/>
    <col min="8" max="8" width="11" customWidth="1"/>
    <col min="9" max="9" width="10.5546875" customWidth="1"/>
    <col min="10" max="10" width="11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9</v>
      </c>
      <c r="E1" t="s">
        <v>12</v>
      </c>
      <c r="F1" t="s">
        <v>17</v>
      </c>
      <c r="G1" t="s">
        <v>20</v>
      </c>
      <c r="H1" t="s">
        <v>22</v>
      </c>
      <c r="I1" t="s">
        <v>21</v>
      </c>
      <c r="J1" t="s">
        <v>23</v>
      </c>
      <c r="K1" t="s">
        <v>24</v>
      </c>
    </row>
    <row r="2" spans="1:11" x14ac:dyDescent="0.3">
      <c r="A2">
        <v>13</v>
      </c>
      <c r="B2" s="10">
        <v>46221</v>
      </c>
      <c r="C2" t="s">
        <v>8</v>
      </c>
      <c r="D2" t="s">
        <v>11</v>
      </c>
      <c r="E2" t="s">
        <v>14</v>
      </c>
      <c r="F2" t="s">
        <v>19</v>
      </c>
      <c r="G2">
        <v>5</v>
      </c>
      <c r="H2">
        <v>12000</v>
      </c>
      <c r="I2">
        <v>8500</v>
      </c>
      <c r="J2">
        <v>60000</v>
      </c>
      <c r="K2">
        <v>17500</v>
      </c>
    </row>
    <row r="3" spans="1:11" x14ac:dyDescent="0.3">
      <c r="A3">
        <v>7</v>
      </c>
      <c r="B3" s="10">
        <v>46127</v>
      </c>
      <c r="C3" t="s">
        <v>8</v>
      </c>
      <c r="D3" t="s">
        <v>11</v>
      </c>
      <c r="E3" t="s">
        <v>14</v>
      </c>
      <c r="F3" t="s">
        <v>18</v>
      </c>
      <c r="G3">
        <v>3</v>
      </c>
      <c r="H3">
        <v>12000</v>
      </c>
      <c r="I3">
        <v>8500</v>
      </c>
      <c r="J3">
        <v>36000</v>
      </c>
      <c r="K3">
        <v>10500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B25" sqref="B25"/>
    </sheetView>
  </sheetViews>
  <sheetFormatPr defaultRowHeight="14.4" x14ac:dyDescent="0.3"/>
  <cols>
    <col min="1" max="1" width="12.5546875" bestFit="1" customWidth="1"/>
    <col min="2" max="2" width="57.5546875" customWidth="1"/>
  </cols>
  <sheetData>
    <row r="3" spans="1:2" x14ac:dyDescent="0.3">
      <c r="A3" s="3" t="s">
        <v>32</v>
      </c>
      <c r="B3" t="s">
        <v>35</v>
      </c>
    </row>
    <row r="4" spans="1:2" x14ac:dyDescent="0.3">
      <c r="A4" s="4" t="s">
        <v>5</v>
      </c>
      <c r="B4" s="5">
        <v>144500</v>
      </c>
    </row>
    <row r="5" spans="1:2" x14ac:dyDescent="0.3">
      <c r="A5" s="4" t="s">
        <v>7</v>
      </c>
      <c r="B5" s="5">
        <v>195000</v>
      </c>
    </row>
    <row r="6" spans="1:2" x14ac:dyDescent="0.3">
      <c r="A6" s="4" t="s">
        <v>3</v>
      </c>
      <c r="B6" s="5">
        <v>275000</v>
      </c>
    </row>
    <row r="7" spans="1:2" x14ac:dyDescent="0.3">
      <c r="A7" s="4" t="s">
        <v>8</v>
      </c>
      <c r="B7" s="5">
        <v>96000</v>
      </c>
    </row>
    <row r="8" spans="1:2" x14ac:dyDescent="0.3">
      <c r="A8" s="4" t="s">
        <v>4</v>
      </c>
      <c r="B8" s="5">
        <v>360000</v>
      </c>
    </row>
    <row r="9" spans="1:2" x14ac:dyDescent="0.3">
      <c r="A9" s="4" t="s">
        <v>6</v>
      </c>
      <c r="B9" s="5">
        <v>180000</v>
      </c>
    </row>
    <row r="10" spans="1:2" x14ac:dyDescent="0.3">
      <c r="A10" s="4" t="s">
        <v>33</v>
      </c>
      <c r="B10" s="5">
        <v>1250500</v>
      </c>
    </row>
    <row r="13" spans="1:2" x14ac:dyDescent="0.3">
      <c r="B13">
        <f>SUM(B8,B6)</f>
        <v>635000</v>
      </c>
    </row>
    <row r="14" spans="1:2" x14ac:dyDescent="0.3">
      <c r="B14">
        <f>(B13/B10)*100</f>
        <v>50.779688124750102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K15" sqref="K15"/>
    </sheetView>
  </sheetViews>
  <sheetFormatPr defaultRowHeight="14.4" x14ac:dyDescent="0.3"/>
  <cols>
    <col min="1" max="1" width="12.5546875" bestFit="1" customWidth="1"/>
    <col min="2" max="2" width="39.21875" customWidth="1"/>
  </cols>
  <sheetData>
    <row r="3" spans="1:2" x14ac:dyDescent="0.3">
      <c r="A3" s="3" t="s">
        <v>32</v>
      </c>
      <c r="B3" t="s">
        <v>36</v>
      </c>
    </row>
    <row r="4" spans="1:2" x14ac:dyDescent="0.3">
      <c r="A4" s="4" t="s">
        <v>5</v>
      </c>
      <c r="B4" s="5">
        <v>42500</v>
      </c>
    </row>
    <row r="5" spans="1:2" x14ac:dyDescent="0.3">
      <c r="A5" s="4" t="s">
        <v>7</v>
      </c>
      <c r="B5" s="5">
        <v>39000</v>
      </c>
    </row>
    <row r="6" spans="1:2" x14ac:dyDescent="0.3">
      <c r="A6" s="4" t="s">
        <v>3</v>
      </c>
      <c r="B6" s="5">
        <v>65000</v>
      </c>
    </row>
    <row r="7" spans="1:2" x14ac:dyDescent="0.3">
      <c r="A7" s="4" t="s">
        <v>8</v>
      </c>
      <c r="B7" s="5">
        <v>28000</v>
      </c>
    </row>
    <row r="8" spans="1:2" x14ac:dyDescent="0.3">
      <c r="A8" s="4" t="s">
        <v>4</v>
      </c>
      <c r="B8" s="5">
        <v>96000</v>
      </c>
    </row>
    <row r="9" spans="1:2" x14ac:dyDescent="0.3">
      <c r="A9" s="4" t="s">
        <v>6</v>
      </c>
      <c r="B9" s="5">
        <v>40000</v>
      </c>
    </row>
    <row r="10" spans="1:2" x14ac:dyDescent="0.3">
      <c r="A10" s="4" t="s">
        <v>33</v>
      </c>
      <c r="B10" s="5">
        <v>310500</v>
      </c>
    </row>
    <row r="13" spans="1:2" x14ac:dyDescent="0.3">
      <c r="B13">
        <f>SUM(B8,B6)</f>
        <v>161000</v>
      </c>
    </row>
    <row r="14" spans="1:2" x14ac:dyDescent="0.3">
      <c r="B14">
        <f>(B13/B10)*100</f>
        <v>51.851851851851848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3" t="s">
        <v>32</v>
      </c>
      <c r="B3" t="s">
        <v>35</v>
      </c>
    </row>
    <row r="4" spans="1:2" x14ac:dyDescent="0.3">
      <c r="A4" s="4" t="s">
        <v>16</v>
      </c>
      <c r="B4" s="5">
        <v>270000</v>
      </c>
    </row>
    <row r="5" spans="1:2" x14ac:dyDescent="0.3">
      <c r="A5" s="4" t="s">
        <v>15</v>
      </c>
      <c r="B5" s="5">
        <v>251000</v>
      </c>
    </row>
    <row r="6" spans="1:2" x14ac:dyDescent="0.3">
      <c r="A6" s="4" t="s">
        <v>13</v>
      </c>
      <c r="B6" s="5">
        <v>543500</v>
      </c>
    </row>
    <row r="7" spans="1:2" x14ac:dyDescent="0.3">
      <c r="A7" s="4" t="s">
        <v>14</v>
      </c>
      <c r="B7" s="5">
        <v>186000</v>
      </c>
    </row>
    <row r="8" spans="1:2" x14ac:dyDescent="0.3">
      <c r="A8" s="4" t="s">
        <v>33</v>
      </c>
      <c r="B8" s="5">
        <v>1250500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N11" sqref="N11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3" t="s">
        <v>32</v>
      </c>
      <c r="B3" t="s">
        <v>35</v>
      </c>
    </row>
    <row r="4" spans="1:2" x14ac:dyDescent="0.3">
      <c r="A4" s="4" t="s">
        <v>18</v>
      </c>
      <c r="B4" s="5">
        <v>526000</v>
      </c>
    </row>
    <row r="5" spans="1:2" x14ac:dyDescent="0.3">
      <c r="A5" s="4" t="s">
        <v>19</v>
      </c>
      <c r="B5" s="5">
        <v>724500</v>
      </c>
    </row>
    <row r="6" spans="1:2" x14ac:dyDescent="0.3">
      <c r="A6" s="4" t="s">
        <v>33</v>
      </c>
      <c r="B6" s="5">
        <v>1250500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sqref="A1:K16"/>
    </sheetView>
  </sheetViews>
  <sheetFormatPr defaultRowHeight="14.4" x14ac:dyDescent="0.3"/>
  <cols>
    <col min="1" max="1" width="15.77734375" customWidth="1"/>
    <col min="2" max="2" width="12.33203125" customWidth="1"/>
    <col min="3" max="3" width="14" customWidth="1"/>
    <col min="4" max="4" width="13" customWidth="1"/>
    <col min="5" max="5" width="15.44140625" customWidth="1"/>
    <col min="6" max="6" width="31.77734375" customWidth="1"/>
    <col min="7" max="7" width="17.21875" customWidth="1"/>
    <col min="8" max="8" width="14" customWidth="1"/>
    <col min="9" max="9" width="16.109375" customWidth="1"/>
    <col min="10" max="10" width="20.6640625" customWidth="1"/>
    <col min="11" max="11" width="24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9</v>
      </c>
      <c r="E1" t="s">
        <v>12</v>
      </c>
      <c r="F1" t="s">
        <v>17</v>
      </c>
      <c r="G1" t="s">
        <v>20</v>
      </c>
      <c r="H1" t="s">
        <v>22</v>
      </c>
      <c r="I1" t="s">
        <v>21</v>
      </c>
      <c r="J1" t="s">
        <v>23</v>
      </c>
      <c r="K1" t="s">
        <v>24</v>
      </c>
    </row>
    <row r="2" spans="1:11" x14ac:dyDescent="0.3">
      <c r="A2">
        <v>1</v>
      </c>
      <c r="B2" s="1">
        <v>46027</v>
      </c>
      <c r="C2" t="s">
        <v>3</v>
      </c>
      <c r="D2" t="s">
        <v>10</v>
      </c>
      <c r="E2" t="s">
        <v>13</v>
      </c>
      <c r="F2" t="s">
        <v>18</v>
      </c>
      <c r="G2">
        <v>2</v>
      </c>
      <c r="H2">
        <v>55000</v>
      </c>
      <c r="I2">
        <v>42000</v>
      </c>
      <c r="J2">
        <f>G2*H2</f>
        <v>110000</v>
      </c>
      <c r="K2">
        <f>J2-(G2*I2)</f>
        <v>26000</v>
      </c>
    </row>
    <row r="3" spans="1:11" x14ac:dyDescent="0.3">
      <c r="A3">
        <v>2</v>
      </c>
      <c r="B3" s="1">
        <v>46034</v>
      </c>
      <c r="C3" t="s">
        <v>4</v>
      </c>
      <c r="D3" t="s">
        <v>10</v>
      </c>
      <c r="E3" t="s">
        <v>14</v>
      </c>
      <c r="F3" t="s">
        <v>19</v>
      </c>
      <c r="G3">
        <v>3</v>
      </c>
      <c r="H3">
        <v>30000</v>
      </c>
      <c r="I3">
        <v>22000</v>
      </c>
      <c r="J3">
        <f t="shared" ref="J3:J16" si="0">G3*H3</f>
        <v>90000</v>
      </c>
      <c r="K3">
        <f t="shared" ref="K3:K16" si="1">J3-(G3*I3)</f>
        <v>24000</v>
      </c>
    </row>
    <row r="4" spans="1:11" x14ac:dyDescent="0.3">
      <c r="A4">
        <v>3</v>
      </c>
      <c r="B4" s="1">
        <v>46073</v>
      </c>
      <c r="C4" t="s">
        <v>5</v>
      </c>
      <c r="D4" t="s">
        <v>11</v>
      </c>
      <c r="E4" t="s">
        <v>13</v>
      </c>
      <c r="F4" t="s">
        <v>18</v>
      </c>
      <c r="G4">
        <v>4</v>
      </c>
      <c r="H4">
        <v>8500</v>
      </c>
      <c r="I4">
        <v>6000</v>
      </c>
      <c r="J4">
        <f t="shared" si="0"/>
        <v>34000</v>
      </c>
      <c r="K4">
        <f t="shared" si="1"/>
        <v>10000</v>
      </c>
    </row>
    <row r="5" spans="1:11" x14ac:dyDescent="0.3">
      <c r="A5">
        <v>4</v>
      </c>
      <c r="B5" s="1">
        <v>46084</v>
      </c>
      <c r="C5" t="s">
        <v>6</v>
      </c>
      <c r="D5" t="s">
        <v>10</v>
      </c>
      <c r="E5" t="s">
        <v>15</v>
      </c>
      <c r="F5" t="s">
        <v>19</v>
      </c>
      <c r="G5">
        <v>2</v>
      </c>
      <c r="H5">
        <v>45000</v>
      </c>
      <c r="I5">
        <v>35000</v>
      </c>
      <c r="J5">
        <f t="shared" si="0"/>
        <v>90000</v>
      </c>
      <c r="K5">
        <f t="shared" si="1"/>
        <v>20000</v>
      </c>
    </row>
    <row r="6" spans="1:11" x14ac:dyDescent="0.3">
      <c r="A6">
        <v>5</v>
      </c>
      <c r="B6" s="1">
        <v>46099</v>
      </c>
      <c r="C6" t="s">
        <v>7</v>
      </c>
      <c r="D6" t="s">
        <v>11</v>
      </c>
      <c r="E6" t="s">
        <v>13</v>
      </c>
      <c r="F6" t="s">
        <v>18</v>
      </c>
      <c r="G6">
        <v>1</v>
      </c>
      <c r="H6">
        <v>65000</v>
      </c>
      <c r="I6">
        <v>52000</v>
      </c>
      <c r="J6">
        <f t="shared" si="0"/>
        <v>65000</v>
      </c>
      <c r="K6">
        <f t="shared" si="1"/>
        <v>13000</v>
      </c>
    </row>
    <row r="7" spans="1:11" x14ac:dyDescent="0.3">
      <c r="A7">
        <v>6</v>
      </c>
      <c r="B7" s="1">
        <v>46114</v>
      </c>
      <c r="C7" t="s">
        <v>4</v>
      </c>
      <c r="D7" t="s">
        <v>10</v>
      </c>
      <c r="E7" t="s">
        <v>16</v>
      </c>
      <c r="F7" t="s">
        <v>19</v>
      </c>
      <c r="G7">
        <v>5</v>
      </c>
      <c r="H7">
        <v>30000</v>
      </c>
      <c r="I7">
        <v>22000</v>
      </c>
      <c r="J7">
        <f t="shared" si="0"/>
        <v>150000</v>
      </c>
      <c r="K7">
        <f t="shared" si="1"/>
        <v>40000</v>
      </c>
    </row>
    <row r="8" spans="1:11" x14ac:dyDescent="0.3">
      <c r="A8">
        <v>7</v>
      </c>
      <c r="B8" s="1">
        <v>46127</v>
      </c>
      <c r="C8" t="s">
        <v>8</v>
      </c>
      <c r="D8" t="s">
        <v>11</v>
      </c>
      <c r="E8" t="s">
        <v>14</v>
      </c>
      <c r="F8" t="s">
        <v>18</v>
      </c>
      <c r="G8">
        <v>3</v>
      </c>
      <c r="H8">
        <v>12000</v>
      </c>
      <c r="I8">
        <v>8500</v>
      </c>
      <c r="J8">
        <f t="shared" si="0"/>
        <v>36000</v>
      </c>
      <c r="K8">
        <f t="shared" si="1"/>
        <v>10500</v>
      </c>
    </row>
    <row r="9" spans="1:11" x14ac:dyDescent="0.3">
      <c r="A9">
        <v>8</v>
      </c>
      <c r="B9" s="1">
        <v>46152</v>
      </c>
      <c r="C9" t="s">
        <v>3</v>
      </c>
      <c r="D9" t="s">
        <v>10</v>
      </c>
      <c r="E9" t="s">
        <v>13</v>
      </c>
      <c r="F9" t="s">
        <v>19</v>
      </c>
      <c r="G9">
        <v>1</v>
      </c>
      <c r="H9">
        <v>55000</v>
      </c>
      <c r="I9">
        <v>42000</v>
      </c>
      <c r="J9">
        <f t="shared" si="0"/>
        <v>55000</v>
      </c>
      <c r="K9">
        <f t="shared" si="1"/>
        <v>13000</v>
      </c>
    </row>
    <row r="10" spans="1:11" x14ac:dyDescent="0.3">
      <c r="A10">
        <v>9</v>
      </c>
      <c r="B10" s="1">
        <v>46164</v>
      </c>
      <c r="C10" t="s">
        <v>5</v>
      </c>
      <c r="D10" t="s">
        <v>11</v>
      </c>
      <c r="E10" t="s">
        <v>15</v>
      </c>
      <c r="F10" t="s">
        <v>18</v>
      </c>
      <c r="G10">
        <v>6</v>
      </c>
      <c r="H10">
        <v>8500</v>
      </c>
      <c r="I10">
        <v>6000</v>
      </c>
      <c r="J10">
        <f t="shared" si="0"/>
        <v>51000</v>
      </c>
      <c r="K10">
        <f t="shared" si="1"/>
        <v>15000</v>
      </c>
    </row>
    <row r="11" spans="1:11" x14ac:dyDescent="0.3">
      <c r="A11">
        <v>10</v>
      </c>
      <c r="B11" s="1">
        <v>46181</v>
      </c>
      <c r="C11" t="s">
        <v>6</v>
      </c>
      <c r="D11" t="s">
        <v>10</v>
      </c>
      <c r="E11" t="s">
        <v>13</v>
      </c>
      <c r="F11" t="s">
        <v>19</v>
      </c>
      <c r="G11">
        <v>2</v>
      </c>
      <c r="H11">
        <v>45000</v>
      </c>
      <c r="I11">
        <v>35000</v>
      </c>
      <c r="J11">
        <f t="shared" si="0"/>
        <v>90000</v>
      </c>
      <c r="K11">
        <f t="shared" si="1"/>
        <v>20000</v>
      </c>
    </row>
    <row r="12" spans="1:11" x14ac:dyDescent="0.3">
      <c r="A12">
        <v>11</v>
      </c>
      <c r="B12" s="1">
        <v>46192</v>
      </c>
      <c r="C12" t="s">
        <v>4</v>
      </c>
      <c r="D12" t="s">
        <v>10</v>
      </c>
      <c r="E12" t="s">
        <v>16</v>
      </c>
      <c r="F12" t="s">
        <v>18</v>
      </c>
      <c r="G12">
        <v>4</v>
      </c>
      <c r="H12">
        <v>30000</v>
      </c>
      <c r="I12">
        <v>22000</v>
      </c>
      <c r="J12">
        <f t="shared" si="0"/>
        <v>120000</v>
      </c>
      <c r="K12">
        <f t="shared" si="1"/>
        <v>32000</v>
      </c>
    </row>
    <row r="13" spans="1:11" x14ac:dyDescent="0.3">
      <c r="A13">
        <v>12</v>
      </c>
      <c r="B13" s="1">
        <v>46208</v>
      </c>
      <c r="C13" t="s">
        <v>7</v>
      </c>
      <c r="D13" t="s">
        <v>11</v>
      </c>
      <c r="E13" t="s">
        <v>13</v>
      </c>
      <c r="F13" t="s">
        <v>19</v>
      </c>
      <c r="G13">
        <v>2</v>
      </c>
      <c r="H13">
        <v>65000</v>
      </c>
      <c r="I13">
        <v>52000</v>
      </c>
      <c r="J13">
        <f t="shared" si="0"/>
        <v>130000</v>
      </c>
      <c r="K13">
        <f t="shared" si="1"/>
        <v>26000</v>
      </c>
    </row>
    <row r="14" spans="1:11" x14ac:dyDescent="0.3">
      <c r="A14">
        <v>13</v>
      </c>
      <c r="B14" s="1">
        <v>46221</v>
      </c>
      <c r="C14" t="s">
        <v>8</v>
      </c>
      <c r="D14" t="s">
        <v>11</v>
      </c>
      <c r="E14" t="s">
        <v>14</v>
      </c>
      <c r="F14" t="s">
        <v>19</v>
      </c>
      <c r="G14">
        <v>5</v>
      </c>
      <c r="H14">
        <v>12000</v>
      </c>
      <c r="I14">
        <v>8500</v>
      </c>
      <c r="J14">
        <f t="shared" si="0"/>
        <v>60000</v>
      </c>
      <c r="K14">
        <f t="shared" si="1"/>
        <v>17500</v>
      </c>
    </row>
    <row r="15" spans="1:11" x14ac:dyDescent="0.3">
      <c r="A15">
        <v>14</v>
      </c>
      <c r="B15" s="1">
        <v>46236</v>
      </c>
      <c r="C15" t="s">
        <v>3</v>
      </c>
      <c r="D15" t="s">
        <v>10</v>
      </c>
      <c r="E15" t="s">
        <v>15</v>
      </c>
      <c r="F15" t="s">
        <v>18</v>
      </c>
      <c r="G15">
        <v>2</v>
      </c>
      <c r="H15">
        <v>55000</v>
      </c>
      <c r="I15">
        <v>42000</v>
      </c>
      <c r="J15">
        <f t="shared" si="0"/>
        <v>110000</v>
      </c>
      <c r="K15">
        <f t="shared" si="1"/>
        <v>26000</v>
      </c>
    </row>
    <row r="16" spans="1:11" x14ac:dyDescent="0.3">
      <c r="A16">
        <v>15</v>
      </c>
      <c r="B16" s="1">
        <v>46249</v>
      </c>
      <c r="C16" t="s">
        <v>5</v>
      </c>
      <c r="D16" t="s">
        <v>11</v>
      </c>
      <c r="E16" t="s">
        <v>13</v>
      </c>
      <c r="F16" t="s">
        <v>19</v>
      </c>
      <c r="G16">
        <v>7</v>
      </c>
      <c r="H16">
        <v>8500</v>
      </c>
      <c r="I16">
        <v>6000</v>
      </c>
      <c r="J16">
        <f t="shared" si="0"/>
        <v>59500</v>
      </c>
      <c r="K16">
        <f t="shared" si="1"/>
        <v>17500</v>
      </c>
    </row>
    <row r="17" spans="1:11" x14ac:dyDescent="0.3">
      <c r="A17" s="2" t="s">
        <v>29</v>
      </c>
      <c r="G17" s="2" t="s">
        <v>28</v>
      </c>
      <c r="J17" s="2" t="s">
        <v>25</v>
      </c>
      <c r="K17" s="2" t="s">
        <v>26</v>
      </c>
    </row>
    <row r="18" spans="1:11" x14ac:dyDescent="0.3">
      <c r="A18">
        <v>15</v>
      </c>
      <c r="F18" t="s">
        <v>37</v>
      </c>
      <c r="G18">
        <v>49</v>
      </c>
      <c r="J18">
        <v>1250500</v>
      </c>
      <c r="K18">
        <v>310500</v>
      </c>
    </row>
    <row r="19" spans="1:11" x14ac:dyDescent="0.3">
      <c r="F19">
        <v>7</v>
      </c>
      <c r="J19" s="2" t="s">
        <v>30</v>
      </c>
      <c r="K19" s="2" t="s">
        <v>27</v>
      </c>
    </row>
    <row r="20" spans="1:11" x14ac:dyDescent="0.3">
      <c r="F20" t="s">
        <v>38</v>
      </c>
      <c r="J20">
        <f>AVERAGE(J2:J16)</f>
        <v>83366.666666666672</v>
      </c>
      <c r="K20">
        <v>40000</v>
      </c>
    </row>
    <row r="21" spans="1:11" x14ac:dyDescent="0.3">
      <c r="F21">
        <f>COUNTIF(F2:F16,"Returning")</f>
        <v>8</v>
      </c>
      <c r="K21" s="2" t="s">
        <v>31</v>
      </c>
    </row>
    <row r="22" spans="1:11" x14ac:dyDescent="0.3">
      <c r="K22">
        <v>24.830067970000002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workbookViewId="0">
      <selection activeCell="J12" sqref="J12"/>
    </sheetView>
  </sheetViews>
  <sheetFormatPr defaultRowHeight="14.4" x14ac:dyDescent="0.3"/>
  <cols>
    <col min="1" max="1" width="23.6640625" style="12" customWidth="1"/>
    <col min="2" max="3" width="8.88671875" style="12"/>
    <col min="4" max="4" width="21.44140625" style="12" customWidth="1"/>
    <col min="5" max="6" width="8.88671875" style="12"/>
    <col min="7" max="7" width="23.5546875" style="12" customWidth="1"/>
    <col min="8" max="9" width="8.88671875" style="12"/>
    <col min="10" max="10" width="24" style="12" customWidth="1"/>
    <col min="11" max="16384" width="8.88671875" style="12"/>
  </cols>
  <sheetData>
    <row r="1" spans="1:16" x14ac:dyDescent="0.3">
      <c r="A1" s="11" t="s">
        <v>95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4" spans="1:16" ht="21" x14ac:dyDescent="0.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6" ht="21" x14ac:dyDescent="0.4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6" ht="21" x14ac:dyDescent="0.4">
      <c r="A6" s="14" t="s">
        <v>25</v>
      </c>
      <c r="B6" s="15"/>
      <c r="C6" s="16"/>
      <c r="D6" s="14" t="s">
        <v>26</v>
      </c>
      <c r="E6" s="15"/>
      <c r="F6" s="16"/>
      <c r="G6" s="14" t="s">
        <v>96</v>
      </c>
      <c r="H6" s="15"/>
      <c r="I6" s="16"/>
      <c r="J6" s="14" t="s">
        <v>97</v>
      </c>
      <c r="K6" s="13"/>
      <c r="L6" s="13"/>
    </row>
    <row r="7" spans="1:16" ht="21" x14ac:dyDescent="0.4">
      <c r="A7" s="17">
        <f>Sheet1!J18</f>
        <v>1250500</v>
      </c>
      <c r="B7" s="18"/>
      <c r="C7" s="19"/>
      <c r="D7" s="17">
        <f>Sheet1!K18</f>
        <v>310500</v>
      </c>
      <c r="E7" s="18"/>
      <c r="F7" s="19"/>
      <c r="G7" s="20">
        <f>Sheet1!J20</f>
        <v>83366.666666666672</v>
      </c>
      <c r="H7" s="18"/>
      <c r="I7" s="19"/>
      <c r="J7" s="21">
        <f>Sheet1!K22/100</f>
        <v>0.24830067970000003</v>
      </c>
      <c r="K7" s="13"/>
      <c r="L7" s="13"/>
    </row>
    <row r="8" spans="1:16" ht="21" x14ac:dyDescent="0.4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6" ht="21" x14ac:dyDescent="0.4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</sheetData>
  <mergeCells count="1">
    <mergeCell ref="A1:P2"/>
  </mergeCells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A32" sqref="A32"/>
    </sheetView>
  </sheetViews>
  <sheetFormatPr defaultRowHeight="14.4" x14ac:dyDescent="0.3"/>
  <cols>
    <col min="1" max="1" width="134.77734375" customWidth="1"/>
    <col min="2" max="2" width="177.21875" customWidth="1"/>
  </cols>
  <sheetData>
    <row r="1" spans="1:2" ht="64.8" customHeight="1" x14ac:dyDescent="0.7">
      <c r="A1" s="8" t="s">
        <v>62</v>
      </c>
      <c r="B1" s="8"/>
    </row>
    <row r="2" spans="1:2" x14ac:dyDescent="0.3">
      <c r="A2" s="9"/>
      <c r="B2" s="9"/>
    </row>
    <row r="3" spans="1:2" ht="37.799999999999997" customHeight="1" x14ac:dyDescent="0.5">
      <c r="A3" s="22" t="s">
        <v>63</v>
      </c>
      <c r="B3" s="22"/>
    </row>
    <row r="4" spans="1:2" ht="36.6" customHeight="1" x14ac:dyDescent="0.45">
      <c r="A4" s="7" t="s">
        <v>64</v>
      </c>
      <c r="B4" s="7" t="s">
        <v>65</v>
      </c>
    </row>
    <row r="5" spans="1:2" ht="45.6" customHeight="1" x14ac:dyDescent="0.4">
      <c r="A5" s="23" t="s">
        <v>70</v>
      </c>
      <c r="B5" s="23" t="s">
        <v>68</v>
      </c>
    </row>
    <row r="6" spans="1:2" ht="21" x14ac:dyDescent="0.4">
      <c r="A6" s="23" t="s">
        <v>69</v>
      </c>
      <c r="B6" s="23" t="s">
        <v>71</v>
      </c>
    </row>
    <row r="7" spans="1:2" ht="21" x14ac:dyDescent="0.4">
      <c r="A7" s="23" t="s">
        <v>82</v>
      </c>
      <c r="B7" s="23" t="s">
        <v>72</v>
      </c>
    </row>
    <row r="8" spans="1:2" ht="21" x14ac:dyDescent="0.4">
      <c r="A8" s="23" t="s">
        <v>73</v>
      </c>
      <c r="B8" s="23" t="s">
        <v>74</v>
      </c>
    </row>
    <row r="9" spans="1:2" ht="21" x14ac:dyDescent="0.4">
      <c r="A9" s="23" t="s">
        <v>75</v>
      </c>
      <c r="B9" s="23" t="s">
        <v>76</v>
      </c>
    </row>
    <row r="10" spans="1:2" ht="21" x14ac:dyDescent="0.4">
      <c r="A10" s="23" t="s">
        <v>77</v>
      </c>
      <c r="B10" s="23" t="s">
        <v>78</v>
      </c>
    </row>
    <row r="11" spans="1:2" ht="21" x14ac:dyDescent="0.4">
      <c r="A11" s="23" t="s">
        <v>80</v>
      </c>
      <c r="B11" s="23" t="s">
        <v>81</v>
      </c>
    </row>
    <row r="13" spans="1:2" ht="32.4" customHeight="1" x14ac:dyDescent="0.5">
      <c r="A13" s="22" t="s">
        <v>66</v>
      </c>
      <c r="B13" s="22"/>
    </row>
    <row r="14" spans="1:2" ht="32.4" customHeight="1" x14ac:dyDescent="0.45">
      <c r="A14" s="7" t="s">
        <v>79</v>
      </c>
      <c r="B14" s="7" t="s">
        <v>67</v>
      </c>
    </row>
    <row r="15" spans="1:2" ht="21" x14ac:dyDescent="0.4">
      <c r="A15" s="23" t="s">
        <v>83</v>
      </c>
      <c r="B15" s="23" t="s">
        <v>84</v>
      </c>
    </row>
    <row r="16" spans="1:2" ht="21" x14ac:dyDescent="0.4">
      <c r="A16" s="23" t="s">
        <v>85</v>
      </c>
      <c r="B16" s="23" t="s">
        <v>86</v>
      </c>
    </row>
    <row r="17" spans="1:2" ht="21" x14ac:dyDescent="0.4">
      <c r="A17" s="23" t="s">
        <v>87</v>
      </c>
      <c r="B17" s="23" t="s">
        <v>88</v>
      </c>
    </row>
    <row r="18" spans="1:2" ht="21" x14ac:dyDescent="0.4">
      <c r="A18" s="23" t="s">
        <v>89</v>
      </c>
      <c r="B18" s="23" t="s">
        <v>90</v>
      </c>
    </row>
    <row r="19" spans="1:2" ht="21" x14ac:dyDescent="0.4">
      <c r="A19" s="23" t="s">
        <v>91</v>
      </c>
      <c r="B19" s="23" t="s">
        <v>92</v>
      </c>
    </row>
    <row r="20" spans="1:2" ht="21" x14ac:dyDescent="0.4">
      <c r="A20" s="23" t="s">
        <v>93</v>
      </c>
      <c r="B20" s="23" t="s">
        <v>94</v>
      </c>
    </row>
    <row r="21" spans="1:2" ht="21" x14ac:dyDescent="0.4">
      <c r="A21" s="23"/>
      <c r="B21" s="23"/>
    </row>
  </sheetData>
  <mergeCells count="4">
    <mergeCell ref="A1:B1"/>
    <mergeCell ref="A3:B3"/>
    <mergeCell ref="A13:B13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Sheet2</vt:lpstr>
      <vt:lpstr>Sheet17</vt:lpstr>
      <vt:lpstr>Sheet18</vt:lpstr>
      <vt:lpstr>Sheet19</vt:lpstr>
      <vt:lpstr>Sheet20</vt:lpstr>
      <vt:lpstr>Sheet1</vt:lpstr>
      <vt:lpstr>Dashboard</vt:lpstr>
      <vt:lpstr>Sheet3</vt:lpstr>
      <vt:lpstr>Insights &amp; Recommendations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 Jep</dc:creator>
  <cp:lastModifiedBy>Winnie Jep</cp:lastModifiedBy>
  <dcterms:created xsi:type="dcterms:W3CDTF">2026-08-27T06:41:59Z</dcterms:created>
  <dcterms:modified xsi:type="dcterms:W3CDTF">2026-09-14T15:05:58Z</dcterms:modified>
</cp:coreProperties>
</file>